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\Downloads\M5\"/>
    </mc:Choice>
  </mc:AlternateContent>
  <xr:revisionPtr revIDLastSave="0" documentId="13_ncr:1_{92E40BDD-E178-41FF-B300-5A789ED86A9E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1" l="1" a="1"/>
  <c r="E9" i="11"/>
  <c r="E8" i="11" a="1"/>
  <c r="E6" i="11"/>
  <c r="E5" i="1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9" i="10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" i="2"/>
  <c r="E8" i="10"/>
  <c r="E7" i="10"/>
  <c r="E6" i="10" a="1"/>
  <c r="E5" i="10"/>
  <c r="E10" i="9"/>
  <c r="E9" i="9"/>
  <c r="E8" i="9" a="1"/>
  <c r="E7" i="9"/>
  <c r="E6" i="9"/>
  <c r="E5" i="9"/>
  <c r="E10" i="8"/>
  <c r="E9" i="8"/>
  <c r="E8" i="8" a="1"/>
  <c r="E7" i="8" a="1"/>
  <c r="E6" i="8" a="1"/>
  <c r="E5" i="8" a="1"/>
  <c r="E12" i="7"/>
  <c r="E11" i="7"/>
  <c r="E10" i="7"/>
  <c r="E9" i="7"/>
  <c r="E8" i="7"/>
  <c r="E7" i="7"/>
  <c r="E6" i="7"/>
  <c r="E5" i="7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3" i="2"/>
  <c r="L4" i="2"/>
  <c r="L5" i="2"/>
  <c r="L6" i="2"/>
  <c r="L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<sst xmlns="http://schemas.openxmlformats.org/spreadsheetml/2006/main" count="13833" uniqueCount="3030">
  <si>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</si>
  <si>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</si>
  <si>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</si>
  <si>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</si>
  <si>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</si>
  <si>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</si>
  <si>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</si>
  <si>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</si>
  <si>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</si>
  <si>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</si>
  <si>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</si>
  <si>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</si>
  <si>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</si>
  <si>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</si>
  <si>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</si>
  <si>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</si>
  <si>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</si>
  <si>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</si>
  <si>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</si>
  <si>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</si>
  <si>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</si>
  <si>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</si>
  <si>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</si>
  <si>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</si>
  <si>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</si>
  <si>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</si>
  <si>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</si>
  <si>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</si>
  <si>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</si>
  <si>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</si>
  <si>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</si>
  <si>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</si>
  <si>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</si>
  <si>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</si>
  <si>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</si>
  <si>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</si>
  <si>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</si>
  <si>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</si>
  <si>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</si>
  <si>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</si>
  <si>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</si>
  <si>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</si>
  <si>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</si>
  <si>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</si>
  <si>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</si>
  <si>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</si>
  <si>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</si>
  <si>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</si>
  <si>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</si>
  <si>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</si>
  <si>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</si>
  <si>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</si>
  <si>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</si>
  <si>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</si>
  <si>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</si>
  <si>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</si>
  <si>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</si>
  <si>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</si>
  <si>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</si>
  <si>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</si>
  <si>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</si>
  <si>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</si>
  <si>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</si>
  <si>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</si>
  <si>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</si>
  <si>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</si>
  <si>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</si>
  <si>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</si>
  <si>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</si>
  <si>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</si>
  <si>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</si>
  <si>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</si>
  <si>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</si>
  <si>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</si>
  <si>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</si>
  <si>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</si>
  <si>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</si>
  <si>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</si>
  <si>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</si>
  <si>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</si>
  <si>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</si>
  <si>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</si>
  <si>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</si>
  <si>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</si>
  <si>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</si>
  <si>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</si>
  <si>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</si>
  <si>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</si>
  <si>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</si>
  <si>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</si>
  <si>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</si>
  <si>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</si>
  <si>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</si>
  <si>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</si>
  <si>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</si>
  <si>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</si>
  <si>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</si>
  <si>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</si>
  <si>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</si>
  <si>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</si>
  <si>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</si>
  <si>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</si>
  <si>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</si>
  <si>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</si>
  <si>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</si>
  <si>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</si>
  <si>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</si>
  <si>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</si>
  <si>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</si>
  <si>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</si>
  <si>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</si>
  <si>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</si>
  <si>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</si>
  <si>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</si>
  <si>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</si>
  <si>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</si>
  <si>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</si>
  <si>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</si>
  <si>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</si>
  <si>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</si>
  <si>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</si>
  <si>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</si>
  <si>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</si>
  <si>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</si>
  <si>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</si>
  <si>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</si>
  <si>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</si>
  <si>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</si>
  <si>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</si>
  <si>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</si>
  <si>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</si>
  <si>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</si>
  <si>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</si>
  <si>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</si>
  <si>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</si>
  <si>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</si>
  <si>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</si>
  <si>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</si>
  <si>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</si>
  <si>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</si>
  <si>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</si>
  <si>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</si>
  <si>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</si>
  <si>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</si>
  <si>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</si>
  <si>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</si>
  <si>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</si>
  <si>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</si>
  <si>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</si>
  <si>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</si>
  <si>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</si>
  <si>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</si>
  <si>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</si>
  <si>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</si>
  <si>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</si>
  <si>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</si>
  <si>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</si>
  <si>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</si>
  <si>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</si>
  <si>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</si>
  <si>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</si>
  <si>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</si>
  <si>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</si>
  <si>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</si>
  <si>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</si>
  <si>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</si>
  <si>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</si>
  <si>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</si>
  <si>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</si>
  <si>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</si>
  <si>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</si>
  <si>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</si>
  <si>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</si>
  <si>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</si>
  <si>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</si>
  <si>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</si>
  <si>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</si>
  <si>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</si>
  <si>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</si>
  <si>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</si>
  <si>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</si>
  <si>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</si>
  <si>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</si>
  <si>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</si>
  <si>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</si>
  <si>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</si>
  <si>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</si>
  <si>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</si>
  <si>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</si>
  <si>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</si>
  <si>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</si>
  <si>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</si>
  <si>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</si>
  <si>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</si>
  <si>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</si>
  <si>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</si>
  <si>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</si>
  <si>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</si>
  <si>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</si>
  <si>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</si>
  <si>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</si>
  <si>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</si>
  <si>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</si>
  <si>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</si>
  <si>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</si>
  <si>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</si>
  <si>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</si>
  <si>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</si>
  <si>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</si>
  <si>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</si>
  <si>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</si>
  <si>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</si>
  <si>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</si>
  <si>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</si>
  <si>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</si>
  <si>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</si>
  <si>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</si>
  <si>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</si>
  <si>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</si>
  <si>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</si>
  <si>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</si>
  <si>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</si>
  <si>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</si>
  <si>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</si>
  <si>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</si>
  <si>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</si>
  <si>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</si>
  <si>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</si>
  <si>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</si>
  <si>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</si>
  <si>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</si>
  <si>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</si>
  <si>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</si>
  <si>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</si>
  <si>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</si>
  <si>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</si>
  <si>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</si>
  <si>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</si>
  <si>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</si>
  <si>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</si>
  <si>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</si>
  <si>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</si>
  <si>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</si>
  <si>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</si>
  <si>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</si>
  <si>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</si>
  <si>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</si>
  <si>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</si>
  <si>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</si>
  <si>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</si>
  <si>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</si>
  <si>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</si>
  <si>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</si>
  <si>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</si>
  <si>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</si>
  <si>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</si>
  <si>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</si>
  <si>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</si>
  <si>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</si>
  <si>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</si>
  <si>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</si>
  <si>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</si>
  <si>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</si>
  <si>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</si>
  <si>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</si>
  <si>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</si>
  <si>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</si>
  <si>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</si>
  <si>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</si>
  <si>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</si>
  <si>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</si>
  <si>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</si>
  <si>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</si>
  <si>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</si>
  <si>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</si>
  <si>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</si>
  <si>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</si>
  <si>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</si>
  <si>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</si>
  <si>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</si>
  <si>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</si>
  <si>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</si>
  <si>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</si>
  <si>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</si>
  <si>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</si>
  <si>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</si>
  <si>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</si>
  <si>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</si>
  <si>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</si>
  <si>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</si>
  <si>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</si>
  <si>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</si>
  <si>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</si>
  <si>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</si>
  <si>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</si>
  <si>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</si>
  <si>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</si>
  <si>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</si>
  <si>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</si>
  <si>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</si>
  <si>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</si>
  <si>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</si>
  <si>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</si>
  <si>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</si>
  <si>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</si>
  <si>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</si>
  <si>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</si>
  <si>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</si>
  <si>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</si>
  <si>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</si>
  <si>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</si>
  <si>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</si>
  <si>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</si>
  <si>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</si>
  <si>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</si>
  <si>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</si>
  <si>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</si>
  <si>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</si>
  <si>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</si>
  <si>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</si>
  <si>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</si>
  <si>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</si>
  <si>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</si>
  <si>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</si>
  <si>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</si>
  <si>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</si>
  <si>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</si>
  <si>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</si>
  <si>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</si>
  <si>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</si>
  <si>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</si>
  <si>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</si>
  <si>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</si>
  <si>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</si>
  <si>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</si>
  <si>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</si>
  <si>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</si>
  <si>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</si>
  <si>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</si>
  <si>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</si>
  <si>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</si>
  <si>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</si>
  <si>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</si>
  <si>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</si>
  <si>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</si>
  <si>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</si>
  <si>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</si>
  <si>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</si>
  <si>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</si>
  <si>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</si>
  <si>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</si>
  <si>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</si>
  <si>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</si>
  <si>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</si>
  <si>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</si>
  <si>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</si>
  <si>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</si>
  <si>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</si>
  <si>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</si>
  <si>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</si>
  <si>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</si>
  <si>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</si>
  <si>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</si>
  <si>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</si>
  <si>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</si>
  <si>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</si>
  <si>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</si>
  <si>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</si>
  <si>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</si>
  <si>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</si>
  <si>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</si>
  <si>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</si>
  <si>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</si>
  <si>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</si>
  <si>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</si>
  <si>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</si>
  <si>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</si>
  <si>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</si>
  <si>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</si>
  <si>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</si>
  <si>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</si>
  <si>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</si>
  <si>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</si>
  <si>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</si>
  <si>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</si>
  <si>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</si>
  <si>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</si>
  <si>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</si>
  <si>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</si>
  <si>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</si>
  <si>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</si>
  <si>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</si>
  <si>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</si>
  <si>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</si>
  <si>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</si>
  <si>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</si>
  <si>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</si>
  <si>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</si>
  <si>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</si>
  <si>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</si>
  <si>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</si>
  <si>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</si>
  <si>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</si>
  <si>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</si>
  <si>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</si>
  <si>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</si>
  <si>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</si>
  <si>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</si>
  <si>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</si>
  <si>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</si>
  <si>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</si>
  <si>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</si>
  <si>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</si>
  <si>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</si>
  <si>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</si>
  <si>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</si>
  <si>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</si>
  <si>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</si>
  <si>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</si>
  <si>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</si>
  <si>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</si>
  <si>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</si>
  <si>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</si>
  <si>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</si>
  <si>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</si>
  <si>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</si>
  <si>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</si>
  <si>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</si>
  <si>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</si>
  <si>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</si>
  <si>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</si>
  <si>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</si>
  <si>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</si>
  <si>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</si>
  <si>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</si>
  <si>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</si>
  <si>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</si>
  <si>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</si>
  <si>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</si>
  <si>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</si>
  <si>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</si>
  <si>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</si>
  <si>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</si>
  <si>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</si>
  <si>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</si>
  <si>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</si>
  <si>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</si>
  <si>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</si>
  <si>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</si>
  <si>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</si>
  <si>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</si>
  <si>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</si>
  <si>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</si>
  <si>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</si>
  <si>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</si>
  <si>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</si>
  <si>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</si>
  <si>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</si>
  <si>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</si>
  <si>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</si>
  <si>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</si>
  <si>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</si>
  <si>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</si>
  <si>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</si>
  <si>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</si>
  <si>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</si>
  <si>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</si>
  <si>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</si>
  <si>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</si>
  <si>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</si>
  <si>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</si>
  <si>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</si>
  <si>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</si>
  <si>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</si>
  <si>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</si>
  <si>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</si>
  <si>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</si>
  <si>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</si>
  <si>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</si>
  <si>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</si>
  <si>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</si>
  <si>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</si>
  <si>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</si>
  <si>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</si>
  <si>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</si>
  <si>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</si>
  <si>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</si>
  <si>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</si>
  <si>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</si>
  <si>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</si>
  <si>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</si>
  <si>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</si>
  <si>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</si>
  <si>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</si>
  <si>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</si>
  <si>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</si>
  <si>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</si>
  <si>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</si>
  <si>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</si>
  <si>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</si>
  <si>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</si>
  <si>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</si>
  <si>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</si>
  <si>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</si>
  <si>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</si>
  <si>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</si>
  <si>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</si>
  <si>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</si>
  <si>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</si>
  <si>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</si>
  <si>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</si>
  <si>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</si>
  <si>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</si>
  <si>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</si>
  <si>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</si>
  <si>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</si>
  <si>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</si>
  <si>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</si>
  <si>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</si>
  <si>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</si>
  <si>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</si>
  <si>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</si>
  <si>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</si>
  <si>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</si>
  <si>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</si>
  <si>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</si>
  <si>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</si>
  <si>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</si>
  <si>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</si>
  <si>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</si>
  <si>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</si>
  <si>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</si>
  <si>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</si>
  <si>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</si>
  <si>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</si>
  <si>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</si>
  <si>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</si>
  <si>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</si>
  <si>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</si>
  <si>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</si>
  <si>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</si>
  <si>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</si>
  <si>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</si>
  <si>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</si>
  <si>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</si>
  <si>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</si>
  <si>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</si>
  <si>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</si>
  <si>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</si>
  <si>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</si>
  <si>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</si>
  <si>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</si>
  <si>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</si>
  <si>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</si>
  <si>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</si>
  <si>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</si>
  <si>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</si>
  <si>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</si>
  <si>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</si>
  <si>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</si>
  <si>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</si>
  <si>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</si>
  <si>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</si>
  <si>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</si>
  <si>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</si>
  <si>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</si>
  <si>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</si>
  <si>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</si>
  <si>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</si>
  <si>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</si>
  <si>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</si>
  <si>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</si>
  <si>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</si>
  <si>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</si>
  <si>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</si>
  <si>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</si>
  <si>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</si>
  <si>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</si>
  <si>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</si>
  <si>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</si>
  <si>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</si>
  <si>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</si>
  <si>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</si>
  <si>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</si>
  <si>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</si>
  <si>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</si>
  <si>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</si>
  <si>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</si>
  <si>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</si>
  <si>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</si>
  <si>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</si>
  <si>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</si>
  <si>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</si>
  <si>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</si>
  <si>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</si>
  <si>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</si>
  <si>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</si>
  <si>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</si>
  <si>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</si>
  <si>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</si>
  <si>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</si>
  <si>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</si>
  <si>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</si>
  <si>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</si>
  <si>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</si>
  <si>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</si>
  <si>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</si>
  <si>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</si>
  <si>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</si>
  <si>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</si>
  <si>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</si>
  <si>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</si>
  <si>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</si>
  <si>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</si>
  <si>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</si>
  <si>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</si>
  <si>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</si>
  <si>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</si>
  <si>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</si>
  <si>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</si>
  <si>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</si>
  <si>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</si>
  <si>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</si>
  <si>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</si>
  <si>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</si>
  <si>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</si>
  <si>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</si>
  <si>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</si>
  <si>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</si>
  <si>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</si>
  <si>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</si>
  <si>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</si>
  <si>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</si>
  <si>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</si>
  <si>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</si>
  <si>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</si>
  <si>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</si>
  <si>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</si>
  <si>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</si>
  <si>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</si>
  <si>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</si>
  <si>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</si>
  <si>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</si>
  <si>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</si>
  <si>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</si>
  <si>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</si>
  <si>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</si>
  <si>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</si>
  <si>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</si>
  <si>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</si>
  <si>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</si>
  <si>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</si>
  <si>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</si>
  <si>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</si>
  <si>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</si>
  <si>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</si>
  <si>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</si>
  <si>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</si>
  <si>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</si>
  <si>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</si>
  <si>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</si>
  <si>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</si>
  <si>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</si>
  <si>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</si>
  <si>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</si>
  <si>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</si>
  <si>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</si>
  <si>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</si>
  <si>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</si>
  <si>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</si>
  <si>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</si>
  <si>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</si>
  <si>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</si>
  <si>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</si>
  <si>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</si>
  <si>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</si>
  <si>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</si>
  <si>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</si>
  <si>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</si>
  <si>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</si>
  <si>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</si>
  <si>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</si>
  <si>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</si>
  <si>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</si>
  <si>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</si>
  <si>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</si>
  <si>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</si>
  <si>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</si>
  <si>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</si>
  <si>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</si>
  <si>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</si>
  <si>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</si>
  <si>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</si>
  <si>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</si>
  <si>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</si>
  <si>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</si>
  <si>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</si>
  <si>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</si>
  <si>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</si>
  <si>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</si>
  <si>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</si>
  <si>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</si>
  <si>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</si>
  <si>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</si>
  <si>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</si>
  <si>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</si>
  <si>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</si>
  <si>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</si>
  <si>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</si>
  <si>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</si>
  <si>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</si>
  <si>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</si>
  <si>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</si>
  <si>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</si>
  <si>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</si>
  <si>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</si>
  <si>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</si>
  <si>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</si>
  <si>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</si>
  <si>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</si>
  <si>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</si>
  <si>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</si>
  <si>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</si>
  <si>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</si>
  <si>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</si>
  <si>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</si>
  <si>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</si>
  <si>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</si>
  <si>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</si>
  <si>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</si>
  <si>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</si>
  <si>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</si>
  <si>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</si>
  <si>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</si>
  <si>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</si>
  <si>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</si>
  <si>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</si>
  <si>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</si>
  <si>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</si>
  <si>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</si>
  <si>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</si>
  <si>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</si>
  <si>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</si>
  <si>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</si>
  <si>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</si>
  <si>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</si>
  <si>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</si>
  <si>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</si>
  <si>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</si>
  <si>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</si>
  <si>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</si>
  <si>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</si>
  <si>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</si>
  <si>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</si>
  <si>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</si>
  <si>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</si>
  <si>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</si>
  <si>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</si>
  <si>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</si>
  <si>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</si>
  <si>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</si>
  <si>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</si>
  <si>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</si>
  <si>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</si>
  <si>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</si>
  <si>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</si>
  <si>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</si>
  <si>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</si>
  <si>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</si>
  <si>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</si>
  <si>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</si>
  <si>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</si>
  <si>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</si>
  <si>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</si>
  <si>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</si>
  <si>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</si>
  <si>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</si>
  <si>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</si>
  <si>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</si>
  <si>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</si>
  <si>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</si>
  <si>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</si>
  <si>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</si>
  <si>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</si>
  <si>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</si>
  <si>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</si>
  <si>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</si>
  <si>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</si>
  <si>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</si>
  <si>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</si>
  <si>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</si>
  <si>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</si>
  <si>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</si>
  <si>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</si>
  <si>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</si>
  <si>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</si>
  <si>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</si>
  <si>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</si>
  <si>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</si>
  <si>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</si>
  <si>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</si>
  <si>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</si>
  <si>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</si>
  <si>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</si>
  <si>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</si>
  <si>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</si>
  <si>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</si>
  <si>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</si>
  <si>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</si>
  <si>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</si>
  <si>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</si>
  <si>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</si>
  <si>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</si>
  <si>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</si>
  <si>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</si>
  <si>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</si>
  <si>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</si>
  <si>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</si>
  <si>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</si>
  <si>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</si>
  <si>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</si>
  <si>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</si>
  <si>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</si>
  <si>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</si>
  <si>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</si>
  <si>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</si>
  <si>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</si>
  <si>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</si>
  <si>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</si>
  <si>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</si>
  <si>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</si>
  <si>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</si>
  <si>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</si>
  <si>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</si>
  <si>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</si>
  <si>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</si>
  <si>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</si>
  <si>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</si>
  <si>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</si>
  <si>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</si>
  <si>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</si>
  <si>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</si>
  <si>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</si>
  <si>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</si>
  <si>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</si>
  <si>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</si>
  <si>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</si>
  <si>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</si>
  <si>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</si>
  <si>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</si>
  <si>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</si>
  <si>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</si>
  <si>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</si>
  <si>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</si>
  <si>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</si>
  <si>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</si>
  <si>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</si>
  <si>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</si>
  <si>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</si>
  <si>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</si>
  <si>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</si>
  <si>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</si>
  <si>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</si>
  <si>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</si>
  <si>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</si>
  <si>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</si>
  <si>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</si>
  <si>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</si>
  <si>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</si>
  <si>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</si>
  <si>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</si>
  <si>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</si>
  <si>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</si>
  <si>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</si>
  <si>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</si>
  <si>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</si>
  <si>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</si>
  <si>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</si>
  <si>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</si>
  <si>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</si>
  <si>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</si>
  <si>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</si>
  <si>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</si>
  <si>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</si>
  <si>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</si>
  <si>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</si>
  <si>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</si>
  <si>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</si>
  <si>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</si>
  <si>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</si>
  <si>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</si>
  <si>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</si>
  <si>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</si>
  <si>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</si>
  <si>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</si>
  <si>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</si>
  <si>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</si>
  <si>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</si>
  <si>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</si>
  <si>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</si>
  <si>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</si>
  <si>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</si>
  <si>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</si>
  <si>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</si>
  <si>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</si>
  <si>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</si>
  <si>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</si>
  <si>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</si>
  <si>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</si>
  <si>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</si>
  <si>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</si>
  <si>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</si>
  <si>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</si>
  <si>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</si>
  <si>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</si>
  <si>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</si>
  <si>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</si>
  <si>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</si>
  <si>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</si>
  <si>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</si>
  <si>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</si>
  <si>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</si>
  <si>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</si>
  <si>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</si>
  <si>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</si>
  <si>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</si>
  <si>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</si>
  <si>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</si>
  <si>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</si>
  <si>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</si>
  <si>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</si>
  <si>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</si>
  <si>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</si>
  <si>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</si>
  <si>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</si>
  <si>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</si>
  <si>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</si>
  <si>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</si>
  <si>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</si>
  <si>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</si>
  <si>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</si>
  <si>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</si>
  <si>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</si>
  <si>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</si>
  <si>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</si>
  <si>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</si>
  <si>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</si>
  <si>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</si>
  <si>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</si>
  <si>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</si>
  <si>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</si>
  <si>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</si>
  <si>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</si>
  <si>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</si>
  <si>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</si>
  <si>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</si>
  <si>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</si>
  <si>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</si>
  <si>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</si>
  <si>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</si>
  <si>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</si>
  <si>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</si>
  <si>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</si>
  <si>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</si>
  <si>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</si>
  <si>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</si>
  <si>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</si>
  <si>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</si>
  <si>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</si>
  <si>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</si>
  <si>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</si>
  <si>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</si>
  <si>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</si>
  <si>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</si>
  <si>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</si>
  <si>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</si>
  <si>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</si>
  <si>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</si>
  <si>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</si>
  <si>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</si>
  <si>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</si>
  <si>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</si>
  <si>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</si>
  <si>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</si>
  <si>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</si>
  <si>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</si>
  <si>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</si>
  <si>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</si>
  <si>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</si>
  <si>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</si>
  <si>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</si>
  <si>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</si>
  <si>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</si>
  <si>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</si>
  <si>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</si>
  <si>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</si>
  <si>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</si>
  <si>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</si>
  <si>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</si>
  <si>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</si>
  <si>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</si>
  <si>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</si>
  <si>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</si>
  <si>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</si>
  <si>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</si>
  <si>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</si>
  <si>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</si>
  <si>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</si>
  <si>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</si>
  <si>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</si>
  <si>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</si>
  <si>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</si>
  <si>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</si>
  <si>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</si>
  <si>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</si>
  <si>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</si>
  <si>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</si>
  <si>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</si>
  <si>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</si>
  <si>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</si>
  <si>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</si>
  <si>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</si>
  <si>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</si>
  <si>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</si>
  <si>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</si>
  <si>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</si>
  <si>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</si>
  <si>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</si>
  <si>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</si>
  <si>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</si>
  <si>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</si>
  <si>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</si>
  <si>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</si>
  <si>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</si>
  <si>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</si>
  <si>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</si>
  <si>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</si>
  <si>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</si>
  <si>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</si>
  <si>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</si>
  <si>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</si>
  <si>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</si>
  <si>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</si>
  <si>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</si>
  <si>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</si>
  <si>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</si>
  <si>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</si>
  <si>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</si>
  <si>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</si>
  <si>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</si>
  <si>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</si>
  <si>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</si>
  <si>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</si>
  <si>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</si>
  <si>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</si>
  <si>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</si>
  <si>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</si>
  <si>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</si>
  <si>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</si>
  <si>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</si>
  <si>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</si>
  <si>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</si>
  <si>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</si>
  <si>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</si>
  <si>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</si>
  <si>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</si>
  <si>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</si>
  <si>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</si>
  <si>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</si>
  <si>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</si>
  <si>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</si>
  <si>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</si>
  <si>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</si>
  <si>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</si>
  <si>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</si>
  <si>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</si>
  <si>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</si>
  <si>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</si>
  <si>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</si>
  <si>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</si>
  <si>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</si>
  <si>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</si>
  <si>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</si>
  <si>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</si>
  <si>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</si>
  <si>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</si>
  <si>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</si>
  <si>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</si>
  <si>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</si>
  <si>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</si>
  <si>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</si>
  <si>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</si>
  <si>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</si>
  <si>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</si>
  <si>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</si>
  <si>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</si>
  <si>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</si>
  <si>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</si>
  <si>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</si>
  <si>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</si>
  <si>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</si>
  <si>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</si>
  <si>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</si>
  <si>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</si>
  <si>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</si>
  <si>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</si>
  <si>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</si>
  <si>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</si>
  <si>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</si>
  <si>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</si>
  <si>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</si>
  <si>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</si>
  <si>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</si>
  <si>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</si>
  <si>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</si>
  <si>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</si>
  <si>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</si>
  <si>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</si>
  <si>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</si>
  <si>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</si>
  <si>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</si>
  <si>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</si>
  <si>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</si>
  <si>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</si>
  <si>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</si>
  <si>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</si>
  <si>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</si>
  <si>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</si>
  <si>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</si>
  <si>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</si>
  <si>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</si>
  <si>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</si>
  <si>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</si>
  <si>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</si>
  <si>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</si>
  <si>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</si>
  <si>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</si>
  <si>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</si>
  <si>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</si>
  <si>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</si>
  <si>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</si>
  <si>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</si>
  <si>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</si>
  <si>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</si>
  <si>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</si>
  <si>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</si>
  <si>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</si>
  <si>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</si>
  <si>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</si>
  <si>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</si>
  <si>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</si>
  <si>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</si>
  <si>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</si>
  <si>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</si>
  <si>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</si>
  <si>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</si>
  <si>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</si>
  <si>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</si>
  <si>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</si>
  <si>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</si>
  <si>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</si>
  <si>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</si>
  <si>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</si>
  <si>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</si>
  <si>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</si>
  <si>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</si>
  <si>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</si>
  <si>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</si>
  <si>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</si>
  <si>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</si>
  <si>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</si>
  <si>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</si>
  <si>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</si>
  <si>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</si>
  <si>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</si>
  <si>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</si>
  <si>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</si>
  <si>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</si>
  <si>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</si>
  <si>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</si>
  <si>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</si>
  <si>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</si>
  <si>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</si>
  <si>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</si>
  <si>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</si>
  <si>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</si>
  <si>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</si>
  <si>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</si>
  <si>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</si>
  <si>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</si>
  <si>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</si>
  <si>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</si>
  <si>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</si>
  <si>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</si>
  <si>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</si>
  <si>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</si>
  <si>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</si>
  <si>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</si>
  <si>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</si>
  <si>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</si>
  <si>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</si>
  <si>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</si>
  <si>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</si>
  <si>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</si>
  <si>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</si>
  <si>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</si>
  <si>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</si>
  <si>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</si>
  <si>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</si>
  <si>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</si>
  <si>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</si>
  <si>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</si>
  <si>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</si>
  <si>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</si>
  <si>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</si>
  <si>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</si>
  <si>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</si>
  <si>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</si>
  <si>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</si>
  <si>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</si>
  <si>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</si>
  <si>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</si>
  <si>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</si>
  <si>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</si>
  <si>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</si>
  <si>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</si>
  <si>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</si>
  <si>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</si>
  <si>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</si>
  <si>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</si>
  <si>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</si>
  <si>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</si>
  <si>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</si>
  <si>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</si>
  <si>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</si>
  <si>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</si>
  <si>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</si>
  <si>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</si>
  <si>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</si>
  <si>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</si>
  <si>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</si>
  <si>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</si>
  <si>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</si>
  <si>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</si>
  <si>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</si>
  <si>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</si>
  <si>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</si>
  <si>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</si>
  <si>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</si>
  <si>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</si>
  <si>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</si>
  <si>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</si>
  <si>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</si>
  <si>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</si>
  <si>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</si>
  <si>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</si>
  <si>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</si>
  <si>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</si>
  <si>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</si>
  <si>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</si>
  <si>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</si>
  <si>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</si>
  <si>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</si>
  <si>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</si>
  <si>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</si>
  <si>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</si>
  <si>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</si>
  <si>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</si>
  <si>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</si>
  <si>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</si>
  <si>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</si>
  <si>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</si>
  <si>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</si>
  <si>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</si>
  <si>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</si>
  <si>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</si>
  <si>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</si>
  <si>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</si>
  <si>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</si>
  <si>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</si>
  <si>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</si>
  <si>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</si>
  <si>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</si>
  <si>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</si>
  <si>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</si>
  <si>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</si>
  <si>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</si>
  <si>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</si>
  <si>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</si>
  <si>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</si>
  <si>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</si>
  <si>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</si>
  <si>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</si>
  <si>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</si>
  <si>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</si>
  <si>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</si>
  <si>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</si>
  <si>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</si>
  <si>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</si>
  <si>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</si>
  <si>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</si>
  <si>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</si>
  <si>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</si>
  <si>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</si>
  <si>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</si>
  <si>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</si>
  <si>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</si>
  <si>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</si>
  <si>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</si>
  <si>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</si>
  <si>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</si>
  <si>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</si>
  <si>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</si>
  <si>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</si>
  <si>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</si>
  <si>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</si>
  <si>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</si>
  <si>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</si>
  <si>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</si>
  <si>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</si>
  <si>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</si>
  <si>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</si>
  <si>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</si>
  <si>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</si>
  <si>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</si>
  <si>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</si>
  <si>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</si>
  <si>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</si>
  <si>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</si>
  <si>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</si>
  <si>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</si>
  <si>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</si>
  <si>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</si>
  <si>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</si>
  <si>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</si>
  <si>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</si>
  <si>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</si>
  <si>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</si>
  <si>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</si>
  <si>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</si>
  <si>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</si>
  <si>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</si>
  <si>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</si>
  <si>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</si>
  <si>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</si>
  <si>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</si>
  <si>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</si>
  <si>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</si>
  <si>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</si>
  <si>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</si>
  <si>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</si>
  <si>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</si>
  <si>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</si>
  <si>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</si>
  <si>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</si>
  <si>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</si>
  <si>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</si>
  <si>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</si>
  <si>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</si>
  <si>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</si>
  <si>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</si>
  <si>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</si>
  <si>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</si>
  <si>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</si>
  <si>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</si>
  <si>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</si>
  <si>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</si>
  <si>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</si>
  <si>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</si>
  <si>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</si>
  <si>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</si>
  <si>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</si>
  <si>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</si>
  <si>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</si>
  <si>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</si>
  <si>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</si>
  <si>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</si>
  <si>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</si>
  <si>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</si>
  <si>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</si>
  <si>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</si>
  <si>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</si>
  <si>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</si>
  <si>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</si>
  <si>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</si>
  <si>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</si>
  <si>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</si>
  <si>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</si>
  <si>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</si>
  <si>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</si>
  <si>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</si>
  <si>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</si>
  <si>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</si>
  <si>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</si>
  <si>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</si>
  <si>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</si>
  <si>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</si>
  <si>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</si>
  <si>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</si>
  <si>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</si>
  <si>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</si>
  <si>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</si>
  <si>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</si>
  <si>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</si>
  <si>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</si>
  <si>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</si>
  <si>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</si>
  <si>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</si>
  <si>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</si>
  <si>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</si>
  <si>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</si>
  <si>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</si>
  <si>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</si>
  <si>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</si>
  <si>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</si>
  <si>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</si>
  <si>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</si>
  <si>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</si>
  <si>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</si>
  <si>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</si>
  <si>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</si>
  <si>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</si>
  <si>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</si>
  <si>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</si>
  <si>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</si>
  <si>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</si>
  <si>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</si>
  <si>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</si>
  <si>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</si>
  <si>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</si>
  <si>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</si>
  <si>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</si>
  <si>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</si>
  <si>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</si>
  <si>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</si>
  <si>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</si>
  <si>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</si>
  <si>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</si>
  <si>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</si>
  <si>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</si>
  <si>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</si>
  <si>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</si>
  <si>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</si>
  <si>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</si>
  <si>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</si>
  <si>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</si>
  <si>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</si>
  <si>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</si>
  <si>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</si>
  <si>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</si>
  <si>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</si>
  <si>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</si>
  <si>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</si>
  <si>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</si>
  <si>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</si>
  <si>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</si>
  <si>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</si>
  <si>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</si>
  <si>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</si>
  <si>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</si>
  <si>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</si>
  <si>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</si>
  <si>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</si>
  <si>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</si>
  <si>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</si>
  <si>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</si>
  <si>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</si>
  <si>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</si>
  <si>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</si>
  <si>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</si>
  <si>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</si>
  <si>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</si>
  <si>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</si>
  <si>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</si>
  <si>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</si>
  <si>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</si>
  <si>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</si>
  <si>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</si>
  <si>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</si>
  <si>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</si>
  <si>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</si>
  <si>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</si>
  <si>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</si>
  <si>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</si>
  <si>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</si>
  <si>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</si>
  <si>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</si>
  <si>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</si>
  <si>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</si>
  <si>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</si>
  <si>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</si>
  <si>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</si>
  <si>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</si>
  <si>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</si>
  <si>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</si>
  <si>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</si>
  <si>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</si>
  <si>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</si>
  <si>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</si>
  <si>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</si>
  <si>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</si>
  <si>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</si>
  <si>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</si>
  <si>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</si>
  <si>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</si>
  <si>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</si>
  <si>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</si>
  <si>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</si>
  <si>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</si>
  <si>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</si>
  <si>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</si>
  <si>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</si>
  <si>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</si>
  <si>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</si>
  <si>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</si>
  <si>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</si>
  <si>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</si>
  <si>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</si>
  <si>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</si>
  <si>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</si>
  <si>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</si>
  <si>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</si>
  <si>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</si>
  <si>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</si>
  <si>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</si>
  <si>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</si>
  <si>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</si>
  <si>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</si>
  <si>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</si>
  <si>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</si>
  <si>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</si>
  <si>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</si>
  <si>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</si>
  <si>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</si>
  <si>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</si>
  <si>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</si>
  <si>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</si>
  <si>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</si>
  <si>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</si>
  <si>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</si>
  <si>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</si>
  <si>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</si>
  <si>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</si>
  <si>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</si>
  <si>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</si>
  <si>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</si>
  <si>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</si>
  <si>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</si>
  <si>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</si>
  <si>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</si>
  <si>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</si>
  <si>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</si>
  <si>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</si>
  <si>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</si>
  <si>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</si>
  <si>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</si>
  <si>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</si>
  <si>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</si>
  <si>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</si>
  <si>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</si>
  <si>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</si>
  <si>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</si>
  <si>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</si>
  <si>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</si>
  <si>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</si>
  <si>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</si>
  <si>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</si>
  <si>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</si>
  <si>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</si>
  <si>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</si>
  <si>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</si>
  <si>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</si>
  <si>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</si>
  <si>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</si>
  <si>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</si>
  <si>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</si>
  <si>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</si>
  <si>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</si>
  <si>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</si>
  <si>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</si>
  <si>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</si>
  <si>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</si>
  <si>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</si>
  <si>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</si>
  <si>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</si>
  <si>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</si>
  <si>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</si>
  <si>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</si>
  <si>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</si>
  <si>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</si>
  <si>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</si>
  <si>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</si>
  <si>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</si>
  <si>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</si>
  <si>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</si>
  <si>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</si>
  <si>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</si>
  <si>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</si>
  <si>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</si>
  <si>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</si>
  <si>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</si>
  <si>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</si>
  <si>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</si>
  <si>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</si>
  <si>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</si>
  <si>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</si>
  <si>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</si>
  <si>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</si>
  <si>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</si>
  <si>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</si>
  <si>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</si>
  <si>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</si>
  <si>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</si>
  <si>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</si>
  <si>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</si>
  <si>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</si>
  <si>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</si>
  <si>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</si>
  <si>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</si>
  <si>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</si>
  <si>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</si>
  <si>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</si>
  <si>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</si>
  <si>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</si>
  <si>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</si>
  <si>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</si>
  <si>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</si>
  <si>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</si>
  <si>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</si>
  <si>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</si>
  <si>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</si>
  <si>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</si>
  <si>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</si>
  <si>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</si>
  <si>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</si>
  <si>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</si>
  <si>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</si>
  <si>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</si>
  <si>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</si>
  <si>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</si>
  <si>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</si>
  <si>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</si>
  <si>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</si>
  <si>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</si>
  <si>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</si>
  <si>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</si>
  <si>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</si>
  <si>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</si>
  <si>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</si>
  <si>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</si>
  <si>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</si>
  <si>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</si>
  <si>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</si>
  <si>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</si>
  <si>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</si>
  <si>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</si>
  <si>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</si>
  <si>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</si>
  <si>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</si>
  <si>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</si>
  <si>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</si>
  <si>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</si>
  <si>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</si>
  <si>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</si>
  <si>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</si>
  <si>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</si>
  <si>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</si>
  <si>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</si>
  <si>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</si>
  <si>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</si>
  <si>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</si>
  <si>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</si>
  <si>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</si>
  <si>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</si>
  <si>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</si>
  <si>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</si>
  <si>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</si>
  <si>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</si>
  <si>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</si>
  <si>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</si>
  <si>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</si>
  <si>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</si>
  <si>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</si>
  <si>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</si>
  <si>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</si>
  <si>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</si>
  <si>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</si>
  <si>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</si>
  <si>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</si>
  <si>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</si>
  <si>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</si>
  <si>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</si>
  <si>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</si>
  <si>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</si>
  <si>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</si>
  <si>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</si>
  <si>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</si>
  <si>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</si>
  <si>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</si>
  <si>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</si>
  <si>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</si>
  <si>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</si>
  <si>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</si>
  <si>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</si>
  <si>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</si>
  <si>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</si>
  <si>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</si>
  <si>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</si>
  <si>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</si>
  <si>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</si>
  <si>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</si>
  <si>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</si>
  <si>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</si>
  <si>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</si>
  <si>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</si>
  <si>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</si>
  <si>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</si>
  <si>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</si>
  <si>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</si>
  <si>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</si>
  <si>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</si>
  <si>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</si>
  <si>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</si>
  <si>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</si>
  <si>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</si>
  <si>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</si>
  <si>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</si>
  <si>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</si>
  <si>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</si>
  <si>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</si>
  <si>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</si>
  <si>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</si>
  <si>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</si>
  <si>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</si>
  <si>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</si>
  <si>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</si>
  <si>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</si>
  <si>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</si>
  <si>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</si>
  <si>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</si>
  <si>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</si>
  <si>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</si>
  <si>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</si>
  <si>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</si>
  <si>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</si>
  <si>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</si>
  <si>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</si>
  <si>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</si>
  <si>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</si>
  <si>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</si>
  <si>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</si>
  <si>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</si>
  <si>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</si>
  <si>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</si>
  <si>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</si>
  <si>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</si>
  <si>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</si>
  <si>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</si>
  <si>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</si>
  <si>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</si>
  <si>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</si>
  <si>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</si>
  <si>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</si>
  <si>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</si>
  <si>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</si>
  <si>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</si>
  <si>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</si>
  <si>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</si>
  <si>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</si>
  <si>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</si>
  <si>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</si>
  <si>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</si>
  <si>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</si>
  <si>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</si>
  <si>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</si>
  <si>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</si>
  <si>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</si>
  <si>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</si>
  <si>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</si>
  <si>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</si>
  <si>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</si>
  <si>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</si>
  <si>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</si>
  <si>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</si>
  <si>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</si>
  <si>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</si>
  <si>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</si>
  <si>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</si>
  <si>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</si>
  <si>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</si>
  <si>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</si>
  <si>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</si>
  <si>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</si>
  <si>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</si>
  <si>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</si>
  <si>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</si>
  <si>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</si>
  <si>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</si>
  <si>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</si>
  <si>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</si>
  <si>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</si>
  <si>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</si>
  <si>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</si>
  <si>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</si>
  <si>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</si>
  <si>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</si>
  <si>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</si>
  <si>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</si>
  <si>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</si>
  <si>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</si>
  <si>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</si>
  <si>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</si>
  <si>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</si>
  <si>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</si>
  <si>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</si>
  <si>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</si>
  <si>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</si>
  <si>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</si>
  <si>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</si>
  <si>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</si>
  <si>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</si>
  <si>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</si>
  <si>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</si>
  <si>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</si>
  <si>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</si>
  <si>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</si>
  <si>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</si>
  <si>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</si>
  <si>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</si>
  <si>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</si>
  <si>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</si>
  <si>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</si>
  <si>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</si>
  <si>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</si>
  <si>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</si>
  <si>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</si>
  <si>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</si>
  <si>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</si>
  <si>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</si>
  <si>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</si>
  <si>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</si>
  <si>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</si>
  <si>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</si>
  <si>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</si>
  <si>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</si>
  <si>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</si>
  <si>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</si>
  <si>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</si>
  <si>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</si>
  <si>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</si>
  <si>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</si>
  <si>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</si>
  <si>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</si>
  <si>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</si>
  <si>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</si>
  <si>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</si>
  <si>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</si>
  <si>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</si>
  <si>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</si>
  <si>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</si>
  <si>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</si>
  <si>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</si>
  <si>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</si>
  <si>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</si>
  <si>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</si>
  <si>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</si>
  <si>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</si>
  <si>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</si>
  <si>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</si>
  <si>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</si>
  <si>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</si>
  <si>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</si>
  <si>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</si>
  <si>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</si>
  <si>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</si>
  <si>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</si>
  <si>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</si>
  <si>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</si>
  <si>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</si>
  <si>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</si>
  <si>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</si>
  <si>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</si>
  <si>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</si>
  <si>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</si>
  <si>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</si>
  <si>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</si>
  <si>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</si>
  <si>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</si>
  <si>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</si>
  <si>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</si>
  <si>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</si>
  <si>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</si>
  <si>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</si>
  <si>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</si>
  <si>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</si>
  <si>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</si>
  <si>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</si>
  <si>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</si>
  <si>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</si>
  <si>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</si>
  <si>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</si>
  <si>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</si>
  <si>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</si>
  <si>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</si>
  <si>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</si>
  <si>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</si>
  <si>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</si>
  <si>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</si>
  <si>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</si>
  <si>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</si>
  <si>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</si>
  <si>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</si>
  <si>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</si>
  <si>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</si>
  <si>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</si>
  <si>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</si>
  <si>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</si>
  <si>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</si>
  <si>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</si>
  <si>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</si>
  <si>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</si>
  <si>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</si>
  <si>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</si>
  <si>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</si>
  <si>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</si>
  <si>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</si>
  <si>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</si>
  <si>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</si>
  <si>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</si>
  <si>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</si>
  <si>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</si>
  <si>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</si>
  <si>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</si>
  <si>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</si>
  <si>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</si>
  <si>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</si>
  <si>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</si>
  <si>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</si>
  <si>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</si>
  <si>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</si>
  <si>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</si>
  <si>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</si>
  <si>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</si>
  <si>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</si>
  <si>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</si>
  <si>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</si>
  <si>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</si>
  <si>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</si>
  <si>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</si>
  <si>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</si>
  <si>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</si>
  <si>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</si>
  <si>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</si>
  <si>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</si>
  <si>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</si>
  <si>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</si>
  <si>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</si>
  <si>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</si>
  <si>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</si>
  <si>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</si>
  <si>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</si>
  <si>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</si>
  <si>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</si>
  <si>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</si>
  <si>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</si>
  <si>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</si>
  <si>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</si>
  <si>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</si>
  <si>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</si>
  <si>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</si>
  <si>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</si>
  <si>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</si>
  <si>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</si>
  <si>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</si>
  <si>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</si>
  <si>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</si>
  <si>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</si>
  <si>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</si>
  <si>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</si>
  <si>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</si>
  <si>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</si>
  <si>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</si>
  <si>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</si>
  <si>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</si>
  <si>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</si>
  <si>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</si>
  <si>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</si>
  <si>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</si>
  <si>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</si>
  <si>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</si>
  <si>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</si>
  <si>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</si>
  <si>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</si>
  <si>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</si>
  <si>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</si>
  <si>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</si>
  <si>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</si>
  <si>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</si>
  <si>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</si>
  <si>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</si>
  <si>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</si>
  <si>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</si>
  <si>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</si>
  <si>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</si>
  <si>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</si>
  <si>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</si>
  <si>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</si>
  <si>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</si>
  <si>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</si>
  <si>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</si>
  <si>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</si>
  <si>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</si>
  <si>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</si>
  <si>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</si>
  <si>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</si>
  <si>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</si>
  <si>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</si>
  <si>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</si>
  <si>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</si>
  <si>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</si>
  <si>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</si>
  <si>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</si>
  <si>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</si>
  <si>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</si>
  <si>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</si>
  <si>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</si>
  <si>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</si>
  <si>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</si>
  <si>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</si>
  <si>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</si>
  <si>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</si>
  <si>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</si>
  <si>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</si>
  <si>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</si>
  <si>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</si>
  <si>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</si>
  <si>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</si>
  <si>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</si>
  <si>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</si>
  <si>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</si>
  <si>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</si>
  <si>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</si>
  <si>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</si>
  <si>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</si>
  <si>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</si>
  <si>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</si>
  <si>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</si>
  <si>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</si>
  <si>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</si>
  <si>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</si>
  <si>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</si>
  <si>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</si>
  <si>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</si>
  <si>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</si>
  <si>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</si>
  <si>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</si>
  <si>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</si>
  <si>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</si>
  <si>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</si>
  <si>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</si>
  <si>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</si>
  <si>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</si>
  <si>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</si>
  <si>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</si>
  <si>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</si>
  <si>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</si>
  <si>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</si>
  <si>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</si>
  <si>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</si>
  <si>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</si>
  <si>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</si>
  <si>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</si>
  <si>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</si>
  <si>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</si>
  <si>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</si>
  <si>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</si>
  <si>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</si>
  <si>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</si>
  <si>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</si>
  <si>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</si>
  <si>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</si>
  <si>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</si>
  <si>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</si>
  <si>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</si>
  <si>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</si>
  <si>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</si>
  <si>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</si>
  <si>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</si>
  <si>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</si>
  <si>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</si>
  <si>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</si>
  <si>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</si>
  <si>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</si>
  <si>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</si>
  <si>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</si>
  <si>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</si>
  <si>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</si>
  <si>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</si>
  <si>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</si>
  <si>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</si>
  <si>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</si>
  <si>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</si>
  <si>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</si>
  <si>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</si>
  <si>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</si>
  <si>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</si>
  <si>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</si>
  <si>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</si>
  <si>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</si>
  <si>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</si>
  <si>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</si>
  <si>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</si>
  <si>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</si>
  <si>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</si>
  <si>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</si>
  <si>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</si>
  <si>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</si>
  <si>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</si>
  <si>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</si>
  <si>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</si>
  <si>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</si>
  <si>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</si>
  <si>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</si>
  <si>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</si>
  <si>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</si>
  <si>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</si>
  <si>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</si>
  <si>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</si>
  <si>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</si>
  <si>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</si>
  <si>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</si>
  <si>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</si>
  <si>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</si>
  <si>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</si>
  <si>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</si>
  <si>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</si>
  <si>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</si>
  <si>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</si>
  <si>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</si>
  <si>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</si>
  <si>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</si>
  <si>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</si>
  <si>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</si>
  <si>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</si>
  <si>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</si>
  <si>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</si>
  <si>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</si>
  <si>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</si>
  <si>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</si>
  <si>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</si>
  <si>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</si>
  <si>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</si>
  <si>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</si>
  <si>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</si>
  <si>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</si>
  <si>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</si>
  <si>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</si>
  <si>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</si>
  <si>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</si>
  <si>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</si>
  <si>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</si>
  <si>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</si>
  <si>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</si>
  <si>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</si>
  <si>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</si>
  <si>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</si>
  <si>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</si>
  <si>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</si>
  <si>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</si>
  <si>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</si>
  <si>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</si>
  <si>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</si>
  <si>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</si>
  <si>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</si>
  <si>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</si>
  <si>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</si>
  <si>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</si>
  <si>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</si>
  <si>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</si>
  <si>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</si>
  <si>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</si>
  <si>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</si>
  <si>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</si>
  <si>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</si>
  <si>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</si>
  <si>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</si>
  <si>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</si>
  <si>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</si>
  <si>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</si>
  <si>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</si>
  <si>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</si>
  <si>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</si>
  <si>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</si>
  <si>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</si>
  <si>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</si>
  <si>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</si>
  <si>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</si>
  <si>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</si>
  <si>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</si>
  <si>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</si>
  <si>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</si>
  <si>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</si>
  <si>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</si>
  <si>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</si>
  <si>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</si>
  <si>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</si>
  <si>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</si>
  <si>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</si>
  <si>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</si>
  <si>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</si>
  <si>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</si>
  <si>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</si>
  <si>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</si>
  <si>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</si>
  <si>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</si>
  <si>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</si>
  <si>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</si>
  <si>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</si>
  <si>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</si>
  <si>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</si>
  <si>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</si>
  <si>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</si>
  <si>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</si>
  <si>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</si>
  <si>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</si>
  <si>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</si>
  <si>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</si>
  <si>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</si>
  <si>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</si>
  <si>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</si>
  <si>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</si>
  <si>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</si>
  <si>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</si>
  <si>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</si>
  <si>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</si>
  <si>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</si>
  <si>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</si>
  <si>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</si>
  <si>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</si>
  <si>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</si>
  <si>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</si>
  <si>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</si>
  <si>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</si>
  <si>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</si>
  <si>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</si>
  <si>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</si>
  <si>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</si>
  <si>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</si>
  <si>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</si>
  <si>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</si>
  <si>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</si>
  <si>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</si>
  <si>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</si>
  <si>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</si>
  <si>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</si>
  <si>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</si>
  <si>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</si>
  <si>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</si>
  <si>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</si>
  <si>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</si>
  <si>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</si>
  <si>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</si>
  <si>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</si>
  <si>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</si>
  <si>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</si>
  <si>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</si>
  <si>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</si>
  <si>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</si>
  <si>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</si>
  <si>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</si>
  <si>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</si>
  <si>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</si>
  <si>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</si>
  <si>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</si>
  <si>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</si>
  <si>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</si>
  <si>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</si>
  <si>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</si>
  <si>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</si>
  <si>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</si>
  <si>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</si>
  <si>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</si>
  <si>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</si>
  <si>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</si>
  <si>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</si>
  <si>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</si>
  <si>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</si>
  <si>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</si>
  <si>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</si>
  <si>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</si>
  <si>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</si>
  <si>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</si>
  <si>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</si>
  <si>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</si>
  <si>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</si>
  <si>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</si>
  <si>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</si>
  <si>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</si>
  <si>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</si>
  <si>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</si>
  <si>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</si>
  <si>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</si>
  <si>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</si>
  <si>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</si>
  <si>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</si>
  <si>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</si>
  <si>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</si>
  <si>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</si>
  <si>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</si>
  <si>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</si>
  <si>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</si>
  <si>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</si>
  <si>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</si>
  <si>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</si>
  <si>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</si>
  <si>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</si>
  <si>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</si>
  <si>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</si>
  <si>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</si>
  <si>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</si>
  <si>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</si>
  <si>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</si>
  <si>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</si>
  <si>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</si>
  <si>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</si>
  <si>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</si>
  <si>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</si>
  <si>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</si>
  <si>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</si>
  <si>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</si>
  <si>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</si>
  <si>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</si>
  <si>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</si>
  <si>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</si>
  <si>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</si>
  <si>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</si>
  <si>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</si>
  <si>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</si>
  <si>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</si>
  <si>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</si>
  <si>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</si>
  <si>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</si>
  <si>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</si>
  <si>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</si>
  <si>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</si>
  <si>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</si>
  <si>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</si>
  <si>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</si>
  <si>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</si>
  <si>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</si>
  <si>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</si>
  <si>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</si>
  <si>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</si>
  <si>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</si>
  <si>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</si>
  <si>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</si>
  <si>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</si>
  <si>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</si>
  <si>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</si>
  <si>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</si>
  <si>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</si>
  <si>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</si>
  <si>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</si>
  <si>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</si>
  <si>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</si>
  <si>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</si>
  <si>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</si>
  <si>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</si>
  <si>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</si>
  <si>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</si>
  <si>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</si>
  <si>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</si>
  <si>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</si>
  <si>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</si>
  <si>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</si>
  <si>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</si>
  <si>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</si>
  <si>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</si>
  <si>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</si>
  <si>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</si>
  <si>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</si>
  <si>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</si>
  <si>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</si>
  <si>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</si>
  <si>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</si>
  <si>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</si>
  <si>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</si>
  <si>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</si>
  <si>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</si>
  <si>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</si>
  <si>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</si>
  <si>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</si>
  <si>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</si>
  <si>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</si>
  <si>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</si>
  <si>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</si>
  <si>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</si>
  <si>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</si>
  <si>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</si>
  <si>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</si>
  <si>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</si>
  <si>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</si>
  <si>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</si>
  <si>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</si>
  <si>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</si>
  <si>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</si>
  <si>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</si>
  <si>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</si>
  <si>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</si>
  <si>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</si>
  <si>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</si>
  <si>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</si>
  <si>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</si>
  <si>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</si>
  <si>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</si>
  <si>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</si>
  <si>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</si>
  <si>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</si>
  <si>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</si>
  <si>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</si>
  <si>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</si>
  <si>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</si>
  <si>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</si>
  <si>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</si>
  <si>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</si>
  <si>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</si>
  <si>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</si>
  <si>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</si>
  <si>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</si>
  <si>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</si>
  <si>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</si>
  <si>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</si>
  <si>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</si>
  <si>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</si>
  <si>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</si>
  <si>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</si>
  <si>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</si>
  <si>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</si>
  <si>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</si>
  <si>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</si>
  <si>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</si>
  <si>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</si>
  <si>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</si>
  <si>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</si>
  <si>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</si>
  <si>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</si>
  <si>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</si>
  <si>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</si>
  <si>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</si>
  <si>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</si>
  <si>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</si>
  <si>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</si>
  <si>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</si>
  <si>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</si>
  <si>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</si>
  <si>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</si>
  <si>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</si>
  <si>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</si>
  <si>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</si>
  <si>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</si>
  <si>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</si>
  <si>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</si>
  <si>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</si>
  <si>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</si>
  <si>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</si>
  <si>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</si>
  <si>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</si>
  <si>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</si>
  <si>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</si>
  <si>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</si>
  <si>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</si>
  <si>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</si>
  <si>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</si>
  <si>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</si>
  <si>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</si>
  <si>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</si>
  <si>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</si>
  <si>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</si>
  <si>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</si>
  <si>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</si>
  <si>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</si>
  <si>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</si>
  <si>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</si>
  <si>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</si>
  <si>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</si>
  <si>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</si>
  <si>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</si>
  <si>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</si>
  <si>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</si>
  <si>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</si>
  <si>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</si>
  <si>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</si>
  <si>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</si>
  <si>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</si>
  <si>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</si>
  <si>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</si>
  <si>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</si>
  <si>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</si>
  <si>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</si>
  <si>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</si>
  <si>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</si>
  <si>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</si>
  <si>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</si>
  <si>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</si>
  <si>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</si>
  <si>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</si>
  <si>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</si>
  <si>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</si>
  <si>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</si>
  <si>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</si>
  <si>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</si>
  <si>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</si>
  <si>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</si>
  <si>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</si>
  <si>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</si>
  <si>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</si>
  <si>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</si>
  <si>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</si>
  <si>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</si>
  <si>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</si>
  <si>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</si>
  <si>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</si>
  <si>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</si>
  <si>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</si>
  <si>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</si>
  <si>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</si>
  <si>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</si>
  <si>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</si>
  <si>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</si>
  <si>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</si>
  <si>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</si>
  <si>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</si>
  <si>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</si>
  <si>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</si>
  <si>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</si>
  <si>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</si>
  <si>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</si>
  <si>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</si>
  <si>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</si>
  <si>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</si>
  <si>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</si>
  <si>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</si>
  <si>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</si>
  <si>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</si>
  <si>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</si>
  <si>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</si>
  <si>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</si>
  <si>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</si>
  <si>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</si>
  <si>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</si>
  <si>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</si>
  <si>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</si>
  <si>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</si>
  <si>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</si>
  <si>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</si>
  <si>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</si>
  <si>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</si>
  <si>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</si>
  <si>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</si>
  <si>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</si>
  <si>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</si>
  <si>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</si>
  <si>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</si>
  <si>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</si>
  <si>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</si>
  <si>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</si>
  <si>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</si>
  <si>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</si>
  <si>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</si>
  <si>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</si>
  <si>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</si>
  <si>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</si>
  <si>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</si>
  <si>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</si>
  <si>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</si>
  <si>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</si>
  <si>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</si>
  <si>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</si>
  <si>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</si>
  <si>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</si>
  <si>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</si>
  <si>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</si>
  <si>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</si>
  <si>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</si>
  <si>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</si>
  <si>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</si>
  <si>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</si>
  <si>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</si>
  <si>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</si>
  <si>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</si>
  <si>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</si>
  <si>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</si>
  <si>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</si>
  <si>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</si>
  <si>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</si>
  <si>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</si>
  <si>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</si>
  <si>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</si>
  <si>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</si>
  <si>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</si>
  <si>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</si>
  <si>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</si>
  <si>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</si>
  <si>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</si>
  <si>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</si>
  <si>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</si>
  <si>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</si>
  <si>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</si>
  <si>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</si>
  <si>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</si>
  <si>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</si>
  <si>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</si>
  <si>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</si>
  <si>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</si>
  <si>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</si>
  <si>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</si>
  <si>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</si>
  <si>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</si>
  <si>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</si>
  <si>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</si>
  <si>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</si>
  <si>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</si>
  <si>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</si>
  <si>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</si>
  <si>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</si>
  <si>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</si>
  <si>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</si>
  <si>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</si>
  <si>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</si>
  <si>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</si>
  <si>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</si>
  <si>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</si>
  <si>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</si>
  <si>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</si>
  <si>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</si>
  <si>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</si>
  <si>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</si>
  <si>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</si>
  <si>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</si>
  <si>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</si>
  <si>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</si>
  <si>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</si>
  <si>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</si>
  <si>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</si>
  <si>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</si>
  <si>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</si>
  <si>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</si>
  <si>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</si>
  <si>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</si>
  <si>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</si>
  <si>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</si>
  <si>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</si>
  <si>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</si>
  <si>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</si>
  <si>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</si>
  <si>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</si>
  <si>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</si>
  <si>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</si>
  <si>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</si>
  <si>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</si>
  <si>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</si>
  <si>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</si>
  <si>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</si>
  <si>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</si>
  <si>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</si>
  <si>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</si>
  <si>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</si>
  <si>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</si>
  <si>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</si>
  <si>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</si>
  <si>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</si>
  <si>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</si>
  <si>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</si>
  <si>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</si>
  <si>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</si>
  <si>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</si>
  <si>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</si>
  <si>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</si>
  <si>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</si>
  <si>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</si>
  <si>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</si>
  <si>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</si>
  <si>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</si>
  <si>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</si>
  <si>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</si>
  <si>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</si>
  <si>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</si>
  <si>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</si>
  <si>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</si>
  <si>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</si>
  <si>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</si>
  <si>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</si>
  <si>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</si>
  <si>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</si>
  <si>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</si>
  <si>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</si>
  <si>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</si>
  <si>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</si>
  <si>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</si>
  <si>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</si>
  <si>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</si>
  <si>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</si>
  <si>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</si>
  <si>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</si>
  <si>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</si>
  <si>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</si>
  <si>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</si>
  <si>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</si>
  <si>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</si>
  <si>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</si>
  <si>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</si>
  <si>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</si>
  <si>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</si>
  <si>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</si>
  <si>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</si>
  <si>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</si>
  <si>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</si>
  <si>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</si>
  <si>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</si>
  <si>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</si>
  <si>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</si>
  <si>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</si>
  <si>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</si>
  <si>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</si>
  <si>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</si>
  <si>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</si>
  <si>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</si>
  <si>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</si>
  <si>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</si>
  <si>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</si>
  <si>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</si>
  <si>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</si>
  <si>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</si>
  <si>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</si>
  <si>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</si>
  <si>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</si>
  <si>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</si>
  <si>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</si>
  <si>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</si>
  <si>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</si>
  <si>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</si>
  <si>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</si>
  <si>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</si>
  <si>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</si>
  <si>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</si>
  <si>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</si>
  <si>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</si>
  <si>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</si>
  <si>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</si>
  <si>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</si>
  <si>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</si>
  <si>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</si>
  <si>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</si>
  <si>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</si>
  <si>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</si>
  <si>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</si>
  <si>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</si>
  <si>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</si>
  <si>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</si>
  <si>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</si>
  <si>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</si>
  <si>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</si>
  <si>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</si>
  <si>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</si>
  <si>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</si>
  <si>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</si>
  <si>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</si>
  <si>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</si>
  <si>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</si>
  <si>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</si>
  <si>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</si>
  <si>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</si>
  <si>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</si>
  <si>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</si>
  <si>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</si>
  <si>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</si>
  <si>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</si>
  <si>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</si>
  <si>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</si>
  <si>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</si>
  <si>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</si>
  <si>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</si>
  <si>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</si>
  <si>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</si>
  <si>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</si>
  <si>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</si>
  <si>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</si>
  <si>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</si>
  <si>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</si>
  <si>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</si>
  <si>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</si>
  <si>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</si>
  <si>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</si>
  <si>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</si>
  <si>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</si>
  <si>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</si>
  <si>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</si>
  <si>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</si>
  <si>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</si>
  <si>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</si>
  <si>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</si>
  <si>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</si>
  <si>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</si>
  <si>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</si>
  <si>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</si>
  <si>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</si>
  <si>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</si>
  <si>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</si>
  <si>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</si>
  <si>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</si>
  <si>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</si>
  <si>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</si>
  <si>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</si>
  <si>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</si>
  <si>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</si>
  <si>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</si>
  <si>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</si>
  <si>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</si>
  <si>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</si>
  <si>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</si>
  <si>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</si>
  <si>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</si>
  <si>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</si>
  <si>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</si>
  <si>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</si>
  <si>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</si>
  <si>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</si>
  <si>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</si>
  <si>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</si>
  <si>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</si>
  <si>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</si>
  <si>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</si>
  <si>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</si>
  <si>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</si>
  <si>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</si>
  <si>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</si>
  <si>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</si>
  <si>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</si>
  <si>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</si>
  <si>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</si>
  <si>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</si>
  <si>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</si>
  <si>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</si>
  <si>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</si>
  <si>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</si>
  <si>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</si>
  <si>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</si>
  <si>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</si>
  <si>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</si>
  <si>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</si>
  <si>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</si>
  <si>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</si>
  <si>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</si>
  <si>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</si>
  <si>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</si>
  <si>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</si>
  <si>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</si>
  <si>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</si>
  <si>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</si>
  <si>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</si>
  <si>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</si>
  <si>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</si>
  <si>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</si>
  <si>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</si>
  <si>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</si>
  <si>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</si>
  <si>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</si>
  <si>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</si>
  <si>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</si>
  <si>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</si>
  <si>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</si>
  <si>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</si>
  <si>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</si>
  <si>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</si>
  <si>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</si>
  <si>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</si>
  <si>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</si>
  <si>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</si>
  <si>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</si>
  <si>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</si>
  <si>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</si>
  <si>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</si>
  <si>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</si>
  <si>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</si>
  <si>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</si>
  <si>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</si>
  <si>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</si>
  <si>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</si>
  <si>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</si>
  <si>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</si>
  <si>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</si>
  <si>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</si>
  <si>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</si>
  <si>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</si>
  <si>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</si>
  <si>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</si>
  <si>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</si>
  <si>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</si>
  <si>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</si>
  <si>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</si>
  <si>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</si>
  <si>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</si>
  <si>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</si>
  <si>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</si>
  <si>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</si>
  <si>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</si>
  <si>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</si>
  <si>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</si>
  <si>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</si>
  <si>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</si>
  <si>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</si>
  <si>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</si>
  <si>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</si>
  <si>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</si>
  <si>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</si>
  <si>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</si>
  <si>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</si>
  <si>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</si>
  <si>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</si>
  <si>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</si>
  <si>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</si>
  <si>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</si>
  <si>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</si>
  <si>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</si>
  <si>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</si>
  <si>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</si>
  <si>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</si>
  <si>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</si>
  <si>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</si>
  <si>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</si>
  <si>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</si>
  <si>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</si>
  <si>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</si>
  <si>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</si>
  <si>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</si>
  <si>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</si>
  <si>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</si>
  <si>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</si>
  <si>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</si>
  <si>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</si>
  <si>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</si>
  <si>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</si>
  <si>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</si>
  <si>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</si>
  <si>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</si>
  <si>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</si>
  <si>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</si>
  <si>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</si>
  <si>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</si>
  <si>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</si>
  <si>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</si>
  <si>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</si>
  <si>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</si>
  <si>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</si>
  <si>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</si>
  <si>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</si>
  <si>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</si>
  <si>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</si>
  <si>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</si>
  <si>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</si>
  <si>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</si>
  <si>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</si>
  <si>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</si>
  <si>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</si>
  <si>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</si>
  <si>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</si>
  <si>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</si>
  <si>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</si>
  <si>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</si>
  <si>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</si>
  <si>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</si>
  <si>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</si>
  <si>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</si>
  <si>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</si>
  <si>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</si>
  <si>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</si>
  <si>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</si>
  <si>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</si>
  <si>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</si>
  <si>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</si>
  <si>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</si>
  <si>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</si>
  <si>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</si>
  <si>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</si>
  <si>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</si>
  <si>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</si>
  <si>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</si>
  <si>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</si>
  <si>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</si>
  <si>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</si>
  <si>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</si>
  <si>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</si>
  <si>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</si>
  <si>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</si>
  <si>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</si>
  <si>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</si>
  <si>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</si>
  <si>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</si>
  <si>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</si>
  <si>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</si>
  <si>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</si>
  <si>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</si>
  <si>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</si>
  <si>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</si>
  <si>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</si>
  <si>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</si>
  <si>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</si>
  <si>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</si>
  <si>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</si>
  <si>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</si>
  <si>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</si>
  <si>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</si>
  <si>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</si>
  <si>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</si>
  <si>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</si>
  <si>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</si>
  <si>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</si>
  <si>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</si>
  <si>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</si>
  <si>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</si>
  <si>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</si>
  <si>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</si>
  <si>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</si>
  <si>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</si>
  <si>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</si>
  <si>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</si>
  <si>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Category</t>
  </si>
  <si>
    <t>profit_margin</t>
  </si>
  <si>
    <t>total_revenue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</si>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</sst>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workbookViewId="0">
      <selection activeCell="A3" sqref="A3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3004</v>
      </c>
    </row>
    <row r="2" spans="1:8" ht="16.8" x14ac:dyDescent="0.3">
      <c r="A2" s="2" t="s">
        <v>3005</v>
      </c>
    </row>
    <row r="3" spans="1:8" x14ac:dyDescent="0.3">
      <c r="A3" s="3" t="s">
        <v>3006</v>
      </c>
    </row>
    <row r="5" spans="1:8" ht="15.6" x14ac:dyDescent="0.3">
      <c r="A5" s="38" t="s">
        <v>0</v>
      </c>
      <c r="B5" s="35"/>
      <c r="C5" s="35"/>
      <c r="D5" s="35"/>
      <c r="E5" s="35"/>
      <c r="F5" s="35"/>
    </row>
    <row r="6" spans="1:8" x14ac:dyDescent="0.3">
      <c r="A6" s="37" t="s">
        <v>1</v>
      </c>
      <c r="B6" s="35"/>
      <c r="C6" s="35"/>
      <c r="D6" s="35"/>
      <c r="E6" s="35"/>
      <c r="F6" s="35"/>
      <c r="G6" s="35"/>
      <c r="H6" s="35"/>
    </row>
    <row r="7" spans="1:8" x14ac:dyDescent="0.3">
      <c r="A7" s="37" t="s">
        <v>3007</v>
      </c>
      <c r="B7" s="35"/>
      <c r="C7" s="35"/>
      <c r="D7" s="35"/>
      <c r="E7" s="35"/>
      <c r="F7" s="35"/>
      <c r="G7" s="35"/>
      <c r="H7" s="35"/>
    </row>
    <row r="8" spans="1:8" x14ac:dyDescent="0.3">
      <c r="A8" s="37" t="s">
        <v>2</v>
      </c>
      <c r="B8" s="35"/>
      <c r="C8" s="35"/>
      <c r="D8" s="35"/>
      <c r="E8" s="35"/>
      <c r="F8" s="35"/>
      <c r="G8" s="35"/>
      <c r="H8" s="35"/>
    </row>
    <row r="9" spans="1:8" x14ac:dyDescent="0.3">
      <c r="A9" s="37"/>
      <c r="B9" s="35"/>
      <c r="C9" s="35"/>
      <c r="D9" s="35"/>
      <c r="E9" s="35"/>
      <c r="F9" s="35"/>
      <c r="G9" s="35"/>
      <c r="H9" s="35"/>
    </row>
    <row r="10" spans="1:8" x14ac:dyDescent="0.3">
      <c r="A10" s="37" t="s">
        <v>3</v>
      </c>
      <c r="B10" s="35"/>
      <c r="C10" s="35"/>
      <c r="D10" s="35"/>
      <c r="E10" s="35"/>
      <c r="F10" s="35"/>
      <c r="G10" s="35"/>
      <c r="H10" s="35"/>
    </row>
    <row r="11" spans="1:8" x14ac:dyDescent="0.3">
      <c r="A11" s="37" t="s">
        <v>3008</v>
      </c>
      <c r="B11" s="35"/>
      <c r="C11" s="35"/>
      <c r="D11" s="35"/>
      <c r="E11" s="35"/>
      <c r="F11" s="35"/>
      <c r="G11" s="35"/>
      <c r="H11" s="35"/>
    </row>
    <row r="12" spans="1:8" x14ac:dyDescent="0.3">
      <c r="A12" s="37" t="s">
        <v>4</v>
      </c>
      <c r="B12" s="35"/>
      <c r="C12" s="35"/>
      <c r="D12" s="35"/>
      <c r="E12" s="35"/>
      <c r="F12" s="35"/>
      <c r="G12" s="35"/>
      <c r="H12" s="35"/>
    </row>
    <row r="14" spans="1:8" ht="15.6" x14ac:dyDescent="0.3">
      <c r="A14" s="4" t="s">
        <v>5</v>
      </c>
    </row>
    <row r="15" spans="1:8" x14ac:dyDescent="0.3">
      <c r="A15" s="37" t="s">
        <v>6</v>
      </c>
      <c r="B15" s="35"/>
      <c r="C15" s="35"/>
      <c r="D15" s="35"/>
      <c r="E15" s="35"/>
      <c r="F15" s="35"/>
      <c r="G15" s="35"/>
      <c r="H15" s="35"/>
    </row>
    <row r="16" spans="1:8" x14ac:dyDescent="0.3">
      <c r="A16" s="37" t="s">
        <v>7</v>
      </c>
      <c r="B16" s="35"/>
      <c r="C16" s="35"/>
      <c r="D16" s="35"/>
      <c r="E16" s="35"/>
      <c r="F16" s="35"/>
      <c r="G16" s="35"/>
      <c r="H16" s="35"/>
    </row>
    <row r="17" spans="1:8" x14ac:dyDescent="0.3">
      <c r="A17" s="37" t="s">
        <v>8</v>
      </c>
      <c r="B17" s="35"/>
      <c r="C17" s="35"/>
      <c r="D17" s="35"/>
      <c r="E17" s="35"/>
      <c r="F17" s="35"/>
      <c r="G17" s="35"/>
      <c r="H17" s="35"/>
    </row>
    <row r="18" spans="1:8" x14ac:dyDescent="0.3">
      <c r="A18" s="37" t="s">
        <v>3009</v>
      </c>
      <c r="B18" s="35"/>
      <c r="C18" s="35"/>
      <c r="D18" s="35"/>
      <c r="E18" s="35"/>
      <c r="F18" s="35"/>
      <c r="G18" s="35"/>
      <c r="H18" s="35"/>
    </row>
    <row r="19" spans="1:8" x14ac:dyDescent="0.3">
      <c r="A19" s="37" t="s">
        <v>9</v>
      </c>
      <c r="B19" s="35"/>
      <c r="C19" s="35"/>
      <c r="D19" s="35"/>
      <c r="E19" s="35"/>
      <c r="F19" s="35"/>
      <c r="G19" s="35"/>
      <c r="H19" s="35"/>
    </row>
    <row r="20" spans="1:8" x14ac:dyDescent="0.3">
      <c r="A20" s="37" t="s">
        <v>3010</v>
      </c>
      <c r="B20" s="35"/>
      <c r="C20" s="35"/>
      <c r="D20" s="35"/>
      <c r="E20" s="35"/>
      <c r="F20" s="35"/>
      <c r="G20" s="35"/>
      <c r="H20" s="35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3011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3012</v>
      </c>
    </row>
    <row r="37" spans="1:4" x14ac:dyDescent="0.3">
      <c r="A37" s="7" t="s">
        <v>44</v>
      </c>
      <c r="B37" s="7" t="s">
        <v>45</v>
      </c>
      <c r="C37" s="8" t="s">
        <v>3013</v>
      </c>
    </row>
    <row r="38" spans="1:4" x14ac:dyDescent="0.3">
      <c r="A38" s="7" t="s">
        <v>46</v>
      </c>
      <c r="B38" s="7" t="s">
        <v>47</v>
      </c>
      <c r="C38" s="8" t="s">
        <v>3014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S2001"/>
  <sheetViews>
    <sheetView topLeftCell="M1" workbookViewId="0">
      <pane ySplit="1" topLeftCell="A2" activePane="bottomLeft" state="frozen"/>
      <selection pane="bottomLeft" activeCell="T5" sqref="T5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  <col min="18" max="18" width="14.5546875" customWidth="1"/>
    <col min="19" max="19" width="16.77734375" customWidth="1"/>
  </cols>
  <sheetData>
    <row r="1" spans="1:19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33" t="s">
        <v>3026</v>
      </c>
      <c r="M1" s="33" t="s">
        <v>2782</v>
      </c>
      <c r="N1" s="33" t="s">
        <v>2781</v>
      </c>
      <c r="O1" s="33" t="s">
        <v>2504</v>
      </c>
      <c r="P1" s="33" t="s">
        <v>2502</v>
      </c>
      <c r="Q1" s="33" t="s">
        <v>2851</v>
      </c>
      <c r="R1" s="33" t="s">
        <v>2850</v>
      </c>
      <c r="S1" s="33" t="s">
        <v>3027</v>
      </c>
    </row>
    <row r="2" spans="1:19" x14ac:dyDescent="0.3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  <c r="L2" t="str">
        <f>VLOOKUP(D2,Products!$A:$F,3,FALSE)</f>
        <v>Apparel</v>
      </c>
      <c r="M2" t="b">
        <f>VLOOKUP(D2,Products!$A:$F,6,FALSE)</f>
        <v>1</v>
      </c>
      <c r="N2">
        <f>VLOOKUP(D2,Products!$A:$F,4,FALSE)</f>
        <v>2509</v>
      </c>
      <c r="O2" t="str">
        <f>VLOOKUP(C2,Customers!$A:$F,5,FALSE)</f>
        <v>SMB</v>
      </c>
      <c r="P2">
        <f>VLOOKUP(C2,Customers!$A:$F,3,FALSE)</f>
        <v>44</v>
      </c>
      <c r="Q2" t="str">
        <f>VLOOKUP(E2,Sales_Reps!$A:$E,3,FALSE)</f>
        <v>North</v>
      </c>
      <c r="R2" t="str">
        <f>VLOOKUP(E2,Sales_Reps!$A:$E,2,FALSE)</f>
        <v>Suresh Menon</v>
      </c>
      <c r="S2">
        <f>IFERROR((G2-N2)/G2,"")</f>
        <v>0.3069060773480663</v>
      </c>
    </row>
    <row r="3" spans="1:19" x14ac:dyDescent="0.3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L3" t="str">
        <f>VLOOKUP(D3,Products!$A:$F,3,FALSE)</f>
        <v>Apparel</v>
      </c>
      <c r="M3" t="b">
        <f>VLOOKUP(D3,Products!$A:$F,6,FALSE)</f>
        <v>1</v>
      </c>
      <c r="N3">
        <f>VLOOKUP(D3,Products!$A:$F,4,FALSE)</f>
        <v>391</v>
      </c>
      <c r="O3" t="str">
        <f>VLOOKUP(C3,Customers!$A:$F,5,FALSE)</f>
        <v>Retail</v>
      </c>
      <c r="P3">
        <f>VLOOKUP(C3,Customers!$A:$F,3,FALSE)</f>
        <v>39</v>
      </c>
      <c r="Q3" t="str">
        <f>VLOOKUP(E3,Sales_Reps!$A:$E,3,FALSE)</f>
        <v>North</v>
      </c>
      <c r="R3" t="str">
        <f>VLOOKUP(E3,Sales_Reps!$A:$E,2,FALSE)</f>
        <v>Vikram Patel</v>
      </c>
      <c r="S3">
        <f t="shared" ref="S3:S66" si="0">IFERROR((G3-N3)/G3,"")</f>
        <v>0.52317073170731709</v>
      </c>
    </row>
    <row r="4" spans="1:19" x14ac:dyDescent="0.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L4" t="str">
        <f>VLOOKUP(D4,Products!$A:$F,3,FALSE)</f>
        <v>Sports</v>
      </c>
      <c r="M4" t="b">
        <f>VLOOKUP(D4,Products!$A:$F,6,FALSE)</f>
        <v>0</v>
      </c>
      <c r="N4">
        <f>VLOOKUP(D4,Products!$A:$F,4,FALSE)</f>
        <v>302</v>
      </c>
      <c r="O4" t="str">
        <f>VLOOKUP(C4,Customers!$A:$F,5,FALSE)</f>
        <v>Retail</v>
      </c>
      <c r="P4">
        <f>VLOOKUP(C4,Customers!$A:$F,3,FALSE)</f>
        <v>52</v>
      </c>
      <c r="Q4" t="str">
        <f>VLOOKUP(E4,Sales_Reps!$A:$E,3,FALSE)</f>
        <v>South</v>
      </c>
      <c r="R4" t="str">
        <f>VLOOKUP(E4,Sales_Reps!$A:$E,2,FALSE)</f>
        <v>Ritu Menon</v>
      </c>
      <c r="S4">
        <f t="shared" si="0"/>
        <v>0.35744680851063831</v>
      </c>
    </row>
    <row r="5" spans="1:19" x14ac:dyDescent="0.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L5" t="str">
        <f>VLOOKUP(D5,Products!$A:$F,3,FALSE)</f>
        <v>Grocery</v>
      </c>
      <c r="M5" t="b">
        <f>VLOOKUP(D5,Products!$A:$F,6,FALSE)</f>
        <v>0</v>
      </c>
      <c r="N5">
        <f>VLOOKUP(D5,Products!$A:$F,4,FALSE)</f>
        <v>2214</v>
      </c>
      <c r="O5" t="str">
        <f>VLOOKUP(C5,Customers!$A:$F,5,FALSE)</f>
        <v>Corporate</v>
      </c>
      <c r="P5">
        <f>VLOOKUP(C5,Customers!$A:$F,3,FALSE)</f>
        <v>46</v>
      </c>
      <c r="Q5" t="str">
        <f>VLOOKUP(E5,Sales_Reps!$A:$E,3,FALSE)</f>
        <v>North</v>
      </c>
      <c r="R5" t="str">
        <f>VLOOKUP(E5,Sales_Reps!$A:$E,2,FALSE)</f>
        <v>Neha Desai</v>
      </c>
      <c r="S5">
        <f t="shared" si="0"/>
        <v>0.39508196721311473</v>
      </c>
    </row>
    <row r="6" spans="1:19" x14ac:dyDescent="0.3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L6" t="str">
        <f>VLOOKUP(D6,Products!$A:$F,3,FALSE)</f>
        <v>Apparel</v>
      </c>
      <c r="M6" t="b">
        <f>VLOOKUP(D6,Products!$A:$F,6,FALSE)</f>
        <v>1</v>
      </c>
      <c r="N6">
        <f>VLOOKUP(D6,Products!$A:$F,4,FALSE)</f>
        <v>1886</v>
      </c>
      <c r="O6" t="str">
        <f>VLOOKUP(C6,Customers!$A:$F,5,FALSE)</f>
        <v>Retail</v>
      </c>
      <c r="P6">
        <f>VLOOKUP(C6,Customers!$A:$F,3,FALSE)</f>
        <v>36</v>
      </c>
      <c r="Q6" t="str">
        <f>VLOOKUP(E6,Sales_Reps!$A:$E,3,FALSE)</f>
        <v>North</v>
      </c>
      <c r="R6" t="str">
        <f>VLOOKUP(E6,Sales_Reps!$A:$E,2,FALSE)</f>
        <v>Kavita Patel</v>
      </c>
      <c r="S6">
        <f t="shared" si="0"/>
        <v>0.4031645569620253</v>
      </c>
    </row>
    <row r="7" spans="1:19" x14ac:dyDescent="0.3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L7" t="str">
        <f>VLOOKUP(D7,Products!$A:$F,3,FALSE)</f>
        <v>Home</v>
      </c>
      <c r="M7" t="b">
        <f>VLOOKUP(D7,Products!$A:$F,6,FALSE)</f>
        <v>1</v>
      </c>
      <c r="N7">
        <f>VLOOKUP(D7,Products!$A:$F,4,FALSE)</f>
        <v>288</v>
      </c>
      <c r="O7" t="str">
        <f>VLOOKUP(C7,Customers!$A:$F,5,FALSE)</f>
        <v>Retail</v>
      </c>
      <c r="P7">
        <f>VLOOKUP(C7,Customers!$A:$F,3,FALSE)</f>
        <v>36</v>
      </c>
      <c r="Q7" t="str">
        <f>VLOOKUP(E7,Sales_Reps!$A:$E,3,FALSE)</f>
        <v>West</v>
      </c>
      <c r="R7" t="str">
        <f>VLOOKUP(E7,Sales_Reps!$A:$E,2,FALSE)</f>
        <v>Ashok Reddy</v>
      </c>
      <c r="S7">
        <f t="shared" si="0"/>
        <v>0.22162162162162163</v>
      </c>
    </row>
    <row r="8" spans="1:19" x14ac:dyDescent="0.3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L8" t="str">
        <f>VLOOKUP(D8,Products!$A:$F,3,FALSE)</f>
        <v>Sports</v>
      </c>
      <c r="M8" t="b">
        <f>VLOOKUP(D8,Products!$A:$F,6,FALSE)</f>
        <v>1</v>
      </c>
      <c r="N8">
        <f>VLOOKUP(D8,Products!$A:$F,4,FALSE)</f>
        <v>705</v>
      </c>
      <c r="O8" t="str">
        <f>VLOOKUP(C8,Customers!$A:$F,5,FALSE)</f>
        <v>Retail</v>
      </c>
      <c r="P8">
        <f>VLOOKUP(C8,Customers!$A:$F,3,FALSE)</f>
        <v>27</v>
      </c>
      <c r="Q8" t="str">
        <f>VLOOKUP(E8,Sales_Reps!$A:$E,3,FALSE)</f>
        <v>West</v>
      </c>
      <c r="R8" t="str">
        <f>VLOOKUP(E8,Sales_Reps!$A:$E,2,FALSE)</f>
        <v>Rekha Chopra</v>
      </c>
      <c r="S8">
        <f t="shared" si="0"/>
        <v>0.265625</v>
      </c>
    </row>
    <row r="9" spans="1:19" x14ac:dyDescent="0.3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L9" t="str">
        <f>VLOOKUP(D9,Products!$A:$F,3,FALSE)</f>
        <v>Electronics</v>
      </c>
      <c r="M9" t="b">
        <f>VLOOKUP(D9,Products!$A:$F,6,FALSE)</f>
        <v>1</v>
      </c>
      <c r="N9">
        <f>VLOOKUP(D9,Products!$A:$F,4,FALSE)</f>
        <v>861</v>
      </c>
      <c r="O9" t="str">
        <f>VLOOKUP(C9,Customers!$A:$F,5,FALSE)</f>
        <v>Corporate</v>
      </c>
      <c r="P9">
        <f>VLOOKUP(C9,Customers!$A:$F,3,FALSE)</f>
        <v>57</v>
      </c>
      <c r="Q9" t="str">
        <f>VLOOKUP(E9,Sales_Reps!$A:$E,3,FALSE)</f>
        <v>East</v>
      </c>
      <c r="R9" t="str">
        <f>VLOOKUP(E9,Sales_Reps!$A:$E,2,FALSE)</f>
        <v>Prakash Shah</v>
      </c>
      <c r="S9">
        <f t="shared" si="0"/>
        <v>0.39790209790209791</v>
      </c>
    </row>
    <row r="10" spans="1:19" x14ac:dyDescent="0.3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  <c r="L10" t="str">
        <f>VLOOKUP(D10,Products!$A:$F,3,FALSE)</f>
        <v>Home</v>
      </c>
      <c r="M10" t="b">
        <f>VLOOKUP(D10,Products!$A:$F,6,FALSE)</f>
        <v>1</v>
      </c>
      <c r="N10">
        <f>VLOOKUP(D10,Products!$A:$F,4,FALSE)</f>
        <v>2549</v>
      </c>
      <c r="O10" t="str">
        <f>VLOOKUP(C10,Customers!$A:$F,5,FALSE)</f>
        <v>Retail</v>
      </c>
      <c r="P10">
        <f>VLOOKUP(C10,Customers!$A:$F,3,FALSE)</f>
        <v>42</v>
      </c>
      <c r="Q10" t="str">
        <f>VLOOKUP(E10,Sales_Reps!$A:$E,3,FALSE)</f>
        <v>North</v>
      </c>
      <c r="R10" t="str">
        <f>VLOOKUP(E10,Sales_Reps!$A:$E,2,FALSE)</f>
        <v>Kavita Patel</v>
      </c>
      <c r="S10">
        <f t="shared" si="0"/>
        <v>0.53570127504553733</v>
      </c>
    </row>
    <row r="11" spans="1:19" x14ac:dyDescent="0.3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  <c r="L11" t="str">
        <f>VLOOKUP(D11,Products!$A:$F,3,FALSE)</f>
        <v>Grocery</v>
      </c>
      <c r="M11" t="b">
        <f>VLOOKUP(D11,Products!$A:$F,6,FALSE)</f>
        <v>1</v>
      </c>
      <c r="N11">
        <f>VLOOKUP(D11,Products!$A:$F,4,FALSE)</f>
        <v>434</v>
      </c>
      <c r="O11" t="str">
        <f>VLOOKUP(C11,Customers!$A:$F,5,FALSE)</f>
        <v>Retail</v>
      </c>
      <c r="P11">
        <f>VLOOKUP(C11,Customers!$A:$F,3,FALSE)</f>
        <v>56</v>
      </c>
      <c r="Q11" t="str">
        <f>VLOOKUP(E11,Sales_Reps!$A:$E,3,FALSE)</f>
        <v>West</v>
      </c>
      <c r="R11" t="str">
        <f>VLOOKUP(E11,Sales_Reps!$A:$E,2,FALSE)</f>
        <v>Preeti Shah</v>
      </c>
      <c r="S11">
        <f t="shared" si="0"/>
        <v>0.5525773195876289</v>
      </c>
    </row>
    <row r="12" spans="1:19" x14ac:dyDescent="0.3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  <c r="L12" t="str">
        <f>VLOOKUP(D12,Products!$A:$F,3,FALSE)</f>
        <v>Grocery</v>
      </c>
      <c r="M12" t="b">
        <f>VLOOKUP(D12,Products!$A:$F,6,FALSE)</f>
        <v>1</v>
      </c>
      <c r="N12">
        <f>VLOOKUP(D12,Products!$A:$F,4,FALSE)</f>
        <v>1203</v>
      </c>
      <c r="O12" t="str">
        <f>VLOOKUP(C12,Customers!$A:$F,5,FALSE)</f>
        <v>Retail</v>
      </c>
      <c r="P12">
        <f>VLOOKUP(C12,Customers!$A:$F,3,FALSE)</f>
        <v>60</v>
      </c>
      <c r="Q12" t="str">
        <f>VLOOKUP(E12,Sales_Reps!$A:$E,3,FALSE)</f>
        <v>South</v>
      </c>
      <c r="R12" t="str">
        <f>VLOOKUP(E12,Sales_Reps!$A:$E,2,FALSE)</f>
        <v>Divya Rao</v>
      </c>
      <c r="S12">
        <f t="shared" si="0"/>
        <v>0.47004405286343615</v>
      </c>
    </row>
    <row r="13" spans="1:19" x14ac:dyDescent="0.3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  <c r="L13" t="str">
        <f>VLOOKUP(D13,Products!$A:$F,3,FALSE)</f>
        <v>Electronics</v>
      </c>
      <c r="M13" t="b">
        <f>VLOOKUP(D13,Products!$A:$F,6,FALSE)</f>
        <v>1</v>
      </c>
      <c r="N13">
        <f>VLOOKUP(D13,Products!$A:$F,4,FALSE)</f>
        <v>1149</v>
      </c>
      <c r="O13" t="str">
        <f>VLOOKUP(C13,Customers!$A:$F,5,FALSE)</f>
        <v>Retail</v>
      </c>
      <c r="P13">
        <f>VLOOKUP(C13,Customers!$A:$F,3,FALSE)</f>
        <v>56</v>
      </c>
      <c r="Q13" t="str">
        <f>VLOOKUP(E13,Sales_Reps!$A:$E,3,FALSE)</f>
        <v>West</v>
      </c>
      <c r="R13" t="str">
        <f>VLOOKUP(E13,Sales_Reps!$A:$E,2,FALSE)</f>
        <v>Rekha Chopra</v>
      </c>
      <c r="S13">
        <f t="shared" si="0"/>
        <v>0.56477272727272732</v>
      </c>
    </row>
    <row r="14" spans="1:19" x14ac:dyDescent="0.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  <c r="L14" t="str">
        <f>VLOOKUP(D14,Products!$A:$F,3,FALSE)</f>
        <v>Electronics</v>
      </c>
      <c r="M14" t="b">
        <f>VLOOKUP(D14,Products!$A:$F,6,FALSE)</f>
        <v>1</v>
      </c>
      <c r="N14">
        <f>VLOOKUP(D14,Products!$A:$F,4,FALSE)</f>
        <v>1052</v>
      </c>
      <c r="O14" t="str">
        <f>VLOOKUP(C14,Customers!$A:$F,5,FALSE)</f>
        <v>SMB</v>
      </c>
      <c r="P14">
        <f>VLOOKUP(C14,Customers!$A:$F,3,FALSE)</f>
        <v>27</v>
      </c>
      <c r="Q14" t="str">
        <f>VLOOKUP(E14,Sales_Reps!$A:$E,3,FALSE)</f>
        <v>North</v>
      </c>
      <c r="R14" t="str">
        <f>VLOOKUP(E14,Sales_Reps!$A:$E,2,FALSE)</f>
        <v>Priya Singh</v>
      </c>
      <c r="S14">
        <f t="shared" si="0"/>
        <v>0.5953846153846154</v>
      </c>
    </row>
    <row r="15" spans="1:19" x14ac:dyDescent="0.3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  <c r="L15" t="str">
        <f>VLOOKUP(D15,Products!$A:$F,3,FALSE)</f>
        <v>Home</v>
      </c>
      <c r="M15" t="b">
        <f>VLOOKUP(D15,Products!$A:$F,6,FALSE)</f>
        <v>1</v>
      </c>
      <c r="N15">
        <f>VLOOKUP(D15,Products!$A:$F,4,FALSE)</f>
        <v>1556</v>
      </c>
      <c r="O15" t="str">
        <f>VLOOKUP(C15,Customers!$A:$F,5,FALSE)</f>
        <v>SMB</v>
      </c>
      <c r="P15">
        <f>VLOOKUP(C15,Customers!$A:$F,3,FALSE)</f>
        <v>39</v>
      </c>
      <c r="Q15" t="str">
        <f>VLOOKUP(E15,Sales_Reps!$A:$E,3,FALSE)</f>
        <v>West</v>
      </c>
      <c r="R15" t="str">
        <f>VLOOKUP(E15,Sales_Reps!$A:$E,2,FALSE)</f>
        <v>Ashok Reddy</v>
      </c>
      <c r="S15">
        <f t="shared" si="0"/>
        <v>0.52123076923076928</v>
      </c>
    </row>
    <row r="16" spans="1:19" x14ac:dyDescent="0.3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  <c r="L16" t="str">
        <f>VLOOKUP(D16,Products!$A:$F,3,FALSE)</f>
        <v>Sports</v>
      </c>
      <c r="M16" t="b">
        <f>VLOOKUP(D16,Products!$A:$F,6,FALSE)</f>
        <v>1</v>
      </c>
      <c r="N16">
        <f>VLOOKUP(D16,Products!$A:$F,4,FALSE)</f>
        <v>147</v>
      </c>
      <c r="O16" t="str">
        <f>VLOOKUP(C16,Customers!$A:$F,5,FALSE)</f>
        <v>Retail</v>
      </c>
      <c r="P16">
        <f>VLOOKUP(C16,Customers!$A:$F,3,FALSE)</f>
        <v>38</v>
      </c>
      <c r="Q16" t="str">
        <f>VLOOKUP(E16,Sales_Reps!$A:$E,3,FALSE)</f>
        <v>North</v>
      </c>
      <c r="R16" t="str">
        <f>VLOOKUP(E16,Sales_Reps!$A:$E,2,FALSE)</f>
        <v>Amit Singh</v>
      </c>
      <c r="S16">
        <f t="shared" si="0"/>
        <v>0.22631578947368422</v>
      </c>
    </row>
    <row r="17" spans="1:19" x14ac:dyDescent="0.3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  <c r="L17" t="str">
        <f>VLOOKUP(D17,Products!$A:$F,3,FALSE)</f>
        <v>Sports</v>
      </c>
      <c r="M17" t="b">
        <f>VLOOKUP(D17,Products!$A:$F,6,FALSE)</f>
        <v>1</v>
      </c>
      <c r="N17">
        <f>VLOOKUP(D17,Products!$A:$F,4,FALSE)</f>
        <v>974</v>
      </c>
      <c r="O17" t="str">
        <f>VLOOKUP(C17,Customers!$A:$F,5,FALSE)</f>
        <v>Retail</v>
      </c>
      <c r="P17">
        <f>VLOOKUP(C17,Customers!$A:$F,3,FALSE)</f>
        <v>63</v>
      </c>
      <c r="Q17" t="str">
        <f>VLOOKUP(E17,Sales_Reps!$A:$E,3,FALSE)</f>
        <v>South</v>
      </c>
      <c r="R17" t="str">
        <f>VLOOKUP(E17,Sales_Reps!$A:$E,2,FALSE)</f>
        <v>Ritu Menon</v>
      </c>
      <c r="S17">
        <f t="shared" si="0"/>
        <v>0.59416666666666662</v>
      </c>
    </row>
    <row r="18" spans="1:19" x14ac:dyDescent="0.3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  <c r="L18" t="str">
        <f>VLOOKUP(D18,Products!$A:$F,3,FALSE)</f>
        <v>Grocery</v>
      </c>
      <c r="M18" t="b">
        <f>VLOOKUP(D18,Products!$A:$F,6,FALSE)</f>
        <v>0</v>
      </c>
      <c r="N18">
        <f>VLOOKUP(D18,Products!$A:$F,4,FALSE)</f>
        <v>2214</v>
      </c>
      <c r="O18" t="str">
        <f>VLOOKUP(C18,Customers!$A:$F,5,FALSE)</f>
        <v>SMB</v>
      </c>
      <c r="P18">
        <f>VLOOKUP(C18,Customers!$A:$F,3,FALSE)</f>
        <v>46</v>
      </c>
      <c r="Q18" t="str">
        <f>VLOOKUP(E18,Sales_Reps!$A:$E,3,FALSE)</f>
        <v>East</v>
      </c>
      <c r="R18" t="str">
        <f>VLOOKUP(E18,Sales_Reps!$A:$E,2,FALSE)</f>
        <v>Vinod Kumar</v>
      </c>
      <c r="S18">
        <f t="shared" si="0"/>
        <v>0.39508196721311473</v>
      </c>
    </row>
    <row r="19" spans="1:19" x14ac:dyDescent="0.3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  <c r="L19" t="str">
        <f>VLOOKUP(D19,Products!$A:$F,3,FALSE)</f>
        <v>Beauty</v>
      </c>
      <c r="M19" t="b">
        <f>VLOOKUP(D19,Products!$A:$F,6,FALSE)</f>
        <v>1</v>
      </c>
      <c r="N19">
        <f>VLOOKUP(D19,Products!$A:$F,4,FALSE)</f>
        <v>2420</v>
      </c>
      <c r="O19" t="str">
        <f>VLOOKUP(C19,Customers!$A:$F,5,FALSE)</f>
        <v>Corporate</v>
      </c>
      <c r="P19">
        <f>VLOOKUP(C19,Customers!$A:$F,3,FALSE)</f>
        <v>32</v>
      </c>
      <c r="Q19" t="str">
        <f>VLOOKUP(E19,Sales_Reps!$A:$E,3,FALSE)</f>
        <v>East</v>
      </c>
      <c r="R19" t="str">
        <f>VLOOKUP(E19,Sales_Reps!$A:$E,2,FALSE)</f>
        <v>Gaurav Desai</v>
      </c>
      <c r="S19">
        <f t="shared" si="0"/>
        <v>0.29855072463768118</v>
      </c>
    </row>
    <row r="20" spans="1:19" x14ac:dyDescent="0.3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  <c r="L20" t="str">
        <f>VLOOKUP(D20,Products!$A:$F,3,FALSE)</f>
        <v>Sports</v>
      </c>
      <c r="M20" t="b">
        <f>VLOOKUP(D20,Products!$A:$F,6,FALSE)</f>
        <v>1</v>
      </c>
      <c r="N20">
        <f>VLOOKUP(D20,Products!$A:$F,4,FALSE)</f>
        <v>2467</v>
      </c>
      <c r="O20" t="str">
        <f>VLOOKUP(C20,Customers!$A:$F,5,FALSE)</f>
        <v>Retail</v>
      </c>
      <c r="P20">
        <f>VLOOKUP(C20,Customers!$A:$F,3,FALSE)</f>
        <v>54</v>
      </c>
      <c r="Q20" t="str">
        <f>VLOOKUP(E20,Sales_Reps!$A:$E,3,FALSE)</f>
        <v>East</v>
      </c>
      <c r="R20" t="str">
        <f>VLOOKUP(E20,Sales_Reps!$A:$E,2,FALSE)</f>
        <v>Vinod Kumar</v>
      </c>
      <c r="S20">
        <f t="shared" si="0"/>
        <v>0.28492753623188405</v>
      </c>
    </row>
    <row r="21" spans="1:19" x14ac:dyDescent="0.3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  <c r="L21" t="str">
        <f>VLOOKUP(D21,Products!$A:$F,3,FALSE)</f>
        <v>Home</v>
      </c>
      <c r="M21" t="b">
        <f>VLOOKUP(D21,Products!$A:$F,6,FALSE)</f>
        <v>1</v>
      </c>
      <c r="N21">
        <f>VLOOKUP(D21,Products!$A:$F,4,FALSE)</f>
        <v>519</v>
      </c>
      <c r="O21" t="str">
        <f>VLOOKUP(C21,Customers!$A:$F,5,FALSE)</f>
        <v>Retail</v>
      </c>
      <c r="P21">
        <f>VLOOKUP(C21,Customers!$A:$F,3,FALSE)</f>
        <v>49</v>
      </c>
      <c r="Q21" t="str">
        <f>VLOOKUP(E21,Sales_Reps!$A:$E,3,FALSE)</f>
        <v>East</v>
      </c>
      <c r="R21" t="str">
        <f>VLOOKUP(E21,Sales_Reps!$A:$E,2,FALSE)</f>
        <v>Vinod Kumar</v>
      </c>
      <c r="S21">
        <f t="shared" si="0"/>
        <v>0.51944444444444449</v>
      </c>
    </row>
    <row r="22" spans="1:19" x14ac:dyDescent="0.3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  <c r="L22" t="str">
        <f>VLOOKUP(D22,Products!$A:$F,3,FALSE)</f>
        <v>Apparel</v>
      </c>
      <c r="M22" t="b">
        <f>VLOOKUP(D22,Products!$A:$F,6,FALSE)</f>
        <v>1</v>
      </c>
      <c r="N22">
        <f>VLOOKUP(D22,Products!$A:$F,4,FALSE)</f>
        <v>1173</v>
      </c>
      <c r="O22" t="str">
        <f>VLOOKUP(C22,Customers!$A:$F,5,FALSE)</f>
        <v>Retail</v>
      </c>
      <c r="P22">
        <f>VLOOKUP(C22,Customers!$A:$F,3,FALSE)</f>
        <v>32</v>
      </c>
      <c r="Q22" t="str">
        <f>VLOOKUP(E22,Sales_Reps!$A:$E,3,FALSE)</f>
        <v>North</v>
      </c>
      <c r="R22" t="str">
        <f>VLOOKUP(E22,Sales_Reps!$A:$E,2,FALSE)</f>
        <v>Neha Desai</v>
      </c>
      <c r="S22">
        <f t="shared" si="0"/>
        <v>0.52701612903225803</v>
      </c>
    </row>
    <row r="23" spans="1:19" x14ac:dyDescent="0.3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L23" t="str">
        <f>VLOOKUP(D23,Products!$A:$F,3,FALSE)</f>
        <v>Home</v>
      </c>
      <c r="M23" t="b">
        <f>VLOOKUP(D23,Products!$A:$F,6,FALSE)</f>
        <v>1</v>
      </c>
      <c r="N23">
        <f>VLOOKUP(D23,Products!$A:$F,4,FALSE)</f>
        <v>1556</v>
      </c>
      <c r="O23" t="str">
        <f>VLOOKUP(C23,Customers!$A:$F,5,FALSE)</f>
        <v>Retail</v>
      </c>
      <c r="P23">
        <f>VLOOKUP(C23,Customers!$A:$F,3,FALSE)</f>
        <v>34</v>
      </c>
      <c r="Q23" t="str">
        <f>VLOOKUP(E23,Sales_Reps!$A:$E,3,FALSE)</f>
        <v>West</v>
      </c>
      <c r="R23" t="str">
        <f>VLOOKUP(E23,Sales_Reps!$A:$E,2,FALSE)</f>
        <v>Kiran Bhatt</v>
      </c>
      <c r="S23">
        <f t="shared" si="0"/>
        <v>0.52123076923076928</v>
      </c>
    </row>
    <row r="24" spans="1:19" x14ac:dyDescent="0.3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L24" t="str">
        <f>VLOOKUP(D24,Products!$A:$F,3,FALSE)</f>
        <v>Apparel</v>
      </c>
      <c r="M24" t="b">
        <f>VLOOKUP(D24,Products!$A:$F,6,FALSE)</f>
        <v>1</v>
      </c>
      <c r="N24">
        <f>VLOOKUP(D24,Products!$A:$F,4,FALSE)</f>
        <v>1962</v>
      </c>
      <c r="O24" t="str">
        <f>VLOOKUP(C24,Customers!$A:$F,5,FALSE)</f>
        <v>Retail</v>
      </c>
      <c r="P24">
        <f>VLOOKUP(C24,Customers!$A:$F,3,FALSE)</f>
        <v>50</v>
      </c>
      <c r="Q24" t="str">
        <f>VLOOKUP(E24,Sales_Reps!$A:$E,3,FALSE)</f>
        <v>West</v>
      </c>
      <c r="R24" t="str">
        <f>VLOOKUP(E24,Sales_Reps!$A:$E,2,FALSE)</f>
        <v>Kiran Bhatt</v>
      </c>
      <c r="S24">
        <f t="shared" si="0"/>
        <v>0.2786764705882353</v>
      </c>
    </row>
    <row r="25" spans="1:19" x14ac:dyDescent="0.3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L25" t="str">
        <f>VLOOKUP(D25,Products!$A:$F,3,FALSE)</f>
        <v>Beauty</v>
      </c>
      <c r="M25" t="b">
        <f>VLOOKUP(D25,Products!$A:$F,6,FALSE)</f>
        <v>1</v>
      </c>
      <c r="N25">
        <f>VLOOKUP(D25,Products!$A:$F,4,FALSE)</f>
        <v>1222</v>
      </c>
      <c r="O25" t="str">
        <f>VLOOKUP(C25,Customers!$A:$F,5,FALSE)</f>
        <v>SMB</v>
      </c>
      <c r="P25">
        <f>VLOOKUP(C25,Customers!$A:$F,3,FALSE)</f>
        <v>40</v>
      </c>
      <c r="Q25" t="str">
        <f>VLOOKUP(E25,Sales_Reps!$A:$E,3,FALSE)</f>
        <v>North</v>
      </c>
      <c r="R25" t="str">
        <f>VLOOKUP(E25,Sales_Reps!$A:$E,2,FALSE)</f>
        <v>Amit Singh</v>
      </c>
      <c r="S25">
        <f t="shared" si="0"/>
        <v>0.2593939393939394</v>
      </c>
    </row>
    <row r="26" spans="1:19" x14ac:dyDescent="0.3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L26" t="str">
        <f>VLOOKUP(D26,Products!$A:$F,3,FALSE)</f>
        <v>Beauty</v>
      </c>
      <c r="M26" t="b">
        <f>VLOOKUP(D26,Products!$A:$F,6,FALSE)</f>
        <v>1</v>
      </c>
      <c r="N26">
        <f>VLOOKUP(D26,Products!$A:$F,4,FALSE)</f>
        <v>1728</v>
      </c>
      <c r="O26" t="str">
        <f>VLOOKUP(C26,Customers!$A:$F,5,FALSE)</f>
        <v>Corporate</v>
      </c>
      <c r="P26">
        <f>VLOOKUP(C26,Customers!$A:$F,3,FALSE)</f>
        <v>55</v>
      </c>
      <c r="Q26" t="str">
        <f>VLOOKUP(E26,Sales_Reps!$A:$E,3,FALSE)</f>
        <v>East</v>
      </c>
      <c r="R26" t="str">
        <f>VLOOKUP(E26,Sales_Reps!$A:$E,2,FALSE)</f>
        <v>Vinod Kumar</v>
      </c>
      <c r="S26">
        <f t="shared" si="0"/>
        <v>0.48417910447761192</v>
      </c>
    </row>
    <row r="27" spans="1:19" x14ac:dyDescent="0.3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L27" t="str">
        <f>VLOOKUP(D27,Products!$A:$F,3,FALSE)</f>
        <v>Sports</v>
      </c>
      <c r="M27" t="b">
        <f>VLOOKUP(D27,Products!$A:$F,6,FALSE)</f>
        <v>1</v>
      </c>
      <c r="N27">
        <f>VLOOKUP(D27,Products!$A:$F,4,FALSE)</f>
        <v>516</v>
      </c>
      <c r="O27" t="str">
        <f>VLOOKUP(C27,Customers!$A:$F,5,FALSE)</f>
        <v>Retail</v>
      </c>
      <c r="P27">
        <f>VLOOKUP(C27,Customers!$A:$F,3,FALSE)</f>
        <v>31</v>
      </c>
      <c r="Q27" t="str">
        <f>VLOOKUP(E27,Sales_Reps!$A:$E,3,FALSE)</f>
        <v>East</v>
      </c>
      <c r="R27" t="str">
        <f>VLOOKUP(E27,Sales_Reps!$A:$E,2,FALSE)</f>
        <v>Prakash Shah</v>
      </c>
      <c r="S27">
        <f t="shared" si="0"/>
        <v>0.4891089108910891</v>
      </c>
    </row>
    <row r="28" spans="1:19" x14ac:dyDescent="0.3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L28" t="str">
        <f>VLOOKUP(D28,Products!$A:$F,3,FALSE)</f>
        <v>Beauty</v>
      </c>
      <c r="M28" t="b">
        <f>VLOOKUP(D28,Products!$A:$F,6,FALSE)</f>
        <v>1</v>
      </c>
      <c r="N28">
        <f>VLOOKUP(D28,Products!$A:$F,4,FALSE)</f>
        <v>2768</v>
      </c>
      <c r="O28" t="str">
        <f>VLOOKUP(C28,Customers!$A:$F,5,FALSE)</f>
        <v>Retail</v>
      </c>
      <c r="P28">
        <f>VLOOKUP(C28,Customers!$A:$F,3,FALSE)</f>
        <v>52</v>
      </c>
      <c r="Q28" t="str">
        <f>VLOOKUP(E28,Sales_Reps!$A:$E,3,FALSE)</f>
        <v>North</v>
      </c>
      <c r="R28" t="str">
        <f>VLOOKUP(E28,Sales_Reps!$A:$E,2,FALSE)</f>
        <v>Neha Desai</v>
      </c>
      <c r="S28">
        <f t="shared" si="0"/>
        <v>0.43278688524590164</v>
      </c>
    </row>
    <row r="29" spans="1:19" x14ac:dyDescent="0.3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L29" t="str">
        <f>VLOOKUP(D29,Products!$A:$F,3,FALSE)</f>
        <v>Electronics</v>
      </c>
      <c r="M29" t="b">
        <f>VLOOKUP(D29,Products!$A:$F,6,FALSE)</f>
        <v>1</v>
      </c>
      <c r="N29">
        <f>VLOOKUP(D29,Products!$A:$F,4,FALSE)</f>
        <v>1665</v>
      </c>
      <c r="O29" t="str">
        <f>VLOOKUP(C29,Customers!$A:$F,5,FALSE)</f>
        <v>SMB</v>
      </c>
      <c r="P29">
        <f>VLOOKUP(C29,Customers!$A:$F,3,FALSE)</f>
        <v>52</v>
      </c>
      <c r="Q29" t="str">
        <f>VLOOKUP(E29,Sales_Reps!$A:$E,3,FALSE)</f>
        <v>South</v>
      </c>
      <c r="R29" t="str">
        <f>VLOOKUP(E29,Sales_Reps!$A:$E,2,FALSE)</f>
        <v>Deepak Shah</v>
      </c>
      <c r="S29">
        <f t="shared" si="0"/>
        <v>0.53361344537815125</v>
      </c>
    </row>
    <row r="30" spans="1:19" x14ac:dyDescent="0.3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L30" t="str">
        <f>VLOOKUP(D30,Products!$A:$F,3,FALSE)</f>
        <v>Beauty</v>
      </c>
      <c r="M30" t="b">
        <f>VLOOKUP(D30,Products!$A:$F,6,FALSE)</f>
        <v>1</v>
      </c>
      <c r="N30">
        <f>VLOOKUP(D30,Products!$A:$F,4,FALSE)</f>
        <v>2237</v>
      </c>
      <c r="O30" t="str">
        <f>VLOOKUP(C30,Customers!$A:$F,5,FALSE)</f>
        <v>Corporate</v>
      </c>
      <c r="P30">
        <f>VLOOKUP(C30,Customers!$A:$F,3,FALSE)</f>
        <v>56</v>
      </c>
      <c r="Q30" t="str">
        <f>VLOOKUP(E30,Sales_Reps!$A:$E,3,FALSE)</f>
        <v>East</v>
      </c>
      <c r="R30" t="str">
        <f>VLOOKUP(E30,Sales_Reps!$A:$E,2,FALSE)</f>
        <v>Meera Iyer</v>
      </c>
      <c r="S30">
        <f t="shared" si="0"/>
        <v>0.56137254901960787</v>
      </c>
    </row>
    <row r="31" spans="1:19" x14ac:dyDescent="0.3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L31" t="str">
        <f>VLOOKUP(D31,Products!$A:$F,3,FALSE)</f>
        <v>Sports</v>
      </c>
      <c r="M31" t="b">
        <f>VLOOKUP(D31,Products!$A:$F,6,FALSE)</f>
        <v>1</v>
      </c>
      <c r="N31">
        <f>VLOOKUP(D31,Products!$A:$F,4,FALSE)</f>
        <v>2028</v>
      </c>
      <c r="O31" t="str">
        <f>VLOOKUP(C31,Customers!$A:$F,5,FALSE)</f>
        <v>SMB</v>
      </c>
      <c r="P31">
        <f>VLOOKUP(C31,Customers!$A:$F,3,FALSE)</f>
        <v>44</v>
      </c>
      <c r="Q31" t="str">
        <f>VLOOKUP(E31,Sales_Reps!$A:$E,3,FALSE)</f>
        <v>North</v>
      </c>
      <c r="R31" t="str">
        <f>VLOOKUP(E31,Sales_Reps!$A:$E,2,FALSE)</f>
        <v>Vikram Patel</v>
      </c>
      <c r="S31">
        <f t="shared" si="0"/>
        <v>0.29090909090909089</v>
      </c>
    </row>
    <row r="32" spans="1:19" x14ac:dyDescent="0.3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L32" t="str">
        <f>VLOOKUP(D32,Products!$A:$F,3,FALSE)</f>
        <v>Grocery</v>
      </c>
      <c r="M32" t="b">
        <f>VLOOKUP(D32,Products!$A:$F,6,FALSE)</f>
        <v>1</v>
      </c>
      <c r="N32">
        <f>VLOOKUP(D32,Products!$A:$F,4,FALSE)</f>
        <v>434</v>
      </c>
      <c r="O32" t="str">
        <f>VLOOKUP(C32,Customers!$A:$F,5,FALSE)</f>
        <v>Corporate</v>
      </c>
      <c r="P32">
        <f>VLOOKUP(C32,Customers!$A:$F,3,FALSE)</f>
        <v>47</v>
      </c>
      <c r="Q32" t="str">
        <f>VLOOKUP(E32,Sales_Reps!$A:$E,3,FALSE)</f>
        <v>North</v>
      </c>
      <c r="R32" t="str">
        <f>VLOOKUP(E32,Sales_Reps!$A:$E,2,FALSE)</f>
        <v>Neha Desai</v>
      </c>
      <c r="S32">
        <f t="shared" si="0"/>
        <v>0.5525773195876289</v>
      </c>
    </row>
    <row r="33" spans="1:19" x14ac:dyDescent="0.3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L33" t="str">
        <f>VLOOKUP(D33,Products!$A:$F,3,FALSE)</f>
        <v>Grocery</v>
      </c>
      <c r="M33" t="b">
        <f>VLOOKUP(D33,Products!$A:$F,6,FALSE)</f>
        <v>1</v>
      </c>
      <c r="N33">
        <f>VLOOKUP(D33,Products!$A:$F,4,FALSE)</f>
        <v>1435</v>
      </c>
      <c r="O33" t="str">
        <f>VLOOKUP(C33,Customers!$A:$F,5,FALSE)</f>
        <v>Retail</v>
      </c>
      <c r="P33">
        <f>VLOOKUP(C33,Customers!$A:$F,3,FALSE)</f>
        <v>53</v>
      </c>
      <c r="Q33" t="str">
        <f>VLOOKUP(E33,Sales_Reps!$A:$E,3,FALSE)</f>
        <v>West</v>
      </c>
      <c r="R33" t="str">
        <f>VLOOKUP(E33,Sales_Reps!$A:$E,2,FALSE)</f>
        <v>Sonia Malhotra</v>
      </c>
      <c r="S33">
        <f t="shared" si="0"/>
        <v>0.48007246376811596</v>
      </c>
    </row>
    <row r="34" spans="1:19" x14ac:dyDescent="0.3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L34" t="str">
        <f>VLOOKUP(D34,Products!$A:$F,3,FALSE)</f>
        <v>Home</v>
      </c>
      <c r="M34" t="b">
        <f>VLOOKUP(D34,Products!$A:$F,6,FALSE)</f>
        <v>1</v>
      </c>
      <c r="N34">
        <f>VLOOKUP(D34,Products!$A:$F,4,FALSE)</f>
        <v>329</v>
      </c>
      <c r="O34" t="str">
        <f>VLOOKUP(C34,Customers!$A:$F,5,FALSE)</f>
        <v>Corporate</v>
      </c>
      <c r="P34">
        <f>VLOOKUP(C34,Customers!$A:$F,3,FALSE)</f>
        <v>32</v>
      </c>
      <c r="Q34" t="str">
        <f>VLOOKUP(E34,Sales_Reps!$A:$E,3,FALSE)</f>
        <v>South</v>
      </c>
      <c r="R34" t="str">
        <f>VLOOKUP(E34,Sales_Reps!$A:$E,2,FALSE)</f>
        <v>Manoj Patel</v>
      </c>
      <c r="S34">
        <f t="shared" si="0"/>
        <v>0.50151515151515147</v>
      </c>
    </row>
    <row r="35" spans="1:19" x14ac:dyDescent="0.3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L35" t="str">
        <f>VLOOKUP(D35,Products!$A:$F,3,FALSE)</f>
        <v>Home</v>
      </c>
      <c r="M35" t="b">
        <f>VLOOKUP(D35,Products!$A:$F,6,FALSE)</f>
        <v>1</v>
      </c>
      <c r="N35">
        <f>VLOOKUP(D35,Products!$A:$F,4,FALSE)</f>
        <v>1556</v>
      </c>
      <c r="O35" t="str">
        <f>VLOOKUP(C35,Customers!$A:$F,5,FALSE)</f>
        <v>SMB</v>
      </c>
      <c r="P35">
        <f>VLOOKUP(C35,Customers!$A:$F,3,FALSE)</f>
        <v>40</v>
      </c>
      <c r="Q35" t="str">
        <f>VLOOKUP(E35,Sales_Reps!$A:$E,3,FALSE)</f>
        <v>East</v>
      </c>
      <c r="R35" t="str">
        <f>VLOOKUP(E35,Sales_Reps!$A:$E,2,FALSE)</f>
        <v>Prakash Shah</v>
      </c>
      <c r="S35">
        <f t="shared" si="0"/>
        <v>0.52123076923076928</v>
      </c>
    </row>
    <row r="36" spans="1:19" x14ac:dyDescent="0.3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L36" t="str">
        <f>VLOOKUP(D36,Products!$A:$F,3,FALSE)</f>
        <v>Beauty</v>
      </c>
      <c r="M36" t="b">
        <f>VLOOKUP(D36,Products!$A:$F,6,FALSE)</f>
        <v>1</v>
      </c>
      <c r="N36">
        <f>VLOOKUP(D36,Products!$A:$F,4,FALSE)</f>
        <v>2237</v>
      </c>
      <c r="O36" t="str">
        <f>VLOOKUP(C36,Customers!$A:$F,5,FALSE)</f>
        <v>Retail</v>
      </c>
      <c r="P36">
        <f>VLOOKUP(C36,Customers!$A:$F,3,FALSE)</f>
        <v>26</v>
      </c>
      <c r="Q36" t="str">
        <f>VLOOKUP(E36,Sales_Reps!$A:$E,3,FALSE)</f>
        <v>East</v>
      </c>
      <c r="R36" t="str">
        <f>VLOOKUP(E36,Sales_Reps!$A:$E,2,FALSE)</f>
        <v>Prakash Shah</v>
      </c>
      <c r="S36">
        <f t="shared" si="0"/>
        <v>0.56137254901960787</v>
      </c>
    </row>
    <row r="37" spans="1:19" x14ac:dyDescent="0.3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L37" t="str">
        <f>VLOOKUP(D37,Products!$A:$F,3,FALSE)</f>
        <v>Home</v>
      </c>
      <c r="M37" t="b">
        <f>VLOOKUP(D37,Products!$A:$F,6,FALSE)</f>
        <v>1</v>
      </c>
      <c r="N37">
        <f>VLOOKUP(D37,Products!$A:$F,4,FALSE)</f>
        <v>519</v>
      </c>
      <c r="O37" t="str">
        <f>VLOOKUP(C37,Customers!$A:$F,5,FALSE)</f>
        <v>Retail</v>
      </c>
      <c r="P37">
        <f>VLOOKUP(C37,Customers!$A:$F,3,FALSE)</f>
        <v>41</v>
      </c>
      <c r="Q37" t="str">
        <f>VLOOKUP(E37,Sales_Reps!$A:$E,3,FALSE)</f>
        <v>East</v>
      </c>
      <c r="R37" t="str">
        <f>VLOOKUP(E37,Sales_Reps!$A:$E,2,FALSE)</f>
        <v>Gaurav Desai</v>
      </c>
      <c r="S37">
        <f t="shared" si="0"/>
        <v>0.51944444444444449</v>
      </c>
    </row>
    <row r="38" spans="1:19" x14ac:dyDescent="0.3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L38" t="str">
        <f>VLOOKUP(D38,Products!$A:$F,3,FALSE)</f>
        <v>Home</v>
      </c>
      <c r="M38" t="b">
        <f>VLOOKUP(D38,Products!$A:$F,6,FALSE)</f>
        <v>1</v>
      </c>
      <c r="N38">
        <f>VLOOKUP(D38,Products!$A:$F,4,FALSE)</f>
        <v>2549</v>
      </c>
      <c r="O38" t="str">
        <f>VLOOKUP(C38,Customers!$A:$F,5,FALSE)</f>
        <v>SMB</v>
      </c>
      <c r="P38">
        <f>VLOOKUP(C38,Customers!$A:$F,3,FALSE)</f>
        <v>36</v>
      </c>
      <c r="Q38" t="str">
        <f>VLOOKUP(E38,Sales_Reps!$A:$E,3,FALSE)</f>
        <v>South</v>
      </c>
      <c r="R38" t="str">
        <f>VLOOKUP(E38,Sales_Reps!$A:$E,2,FALSE)</f>
        <v>Manoj Patel</v>
      </c>
      <c r="S38">
        <f t="shared" si="0"/>
        <v>0.53570127504553733</v>
      </c>
    </row>
    <row r="39" spans="1:19" x14ac:dyDescent="0.3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L39" t="str">
        <f>VLOOKUP(D39,Products!$A:$F,3,FALSE)</f>
        <v>Sports</v>
      </c>
      <c r="M39" t="b">
        <f>VLOOKUP(D39,Products!$A:$F,6,FALSE)</f>
        <v>1</v>
      </c>
      <c r="N39">
        <f>VLOOKUP(D39,Products!$A:$F,4,FALSE)</f>
        <v>147</v>
      </c>
      <c r="O39" t="str">
        <f>VLOOKUP(C39,Customers!$A:$F,5,FALSE)</f>
        <v>Retail</v>
      </c>
      <c r="P39">
        <f>VLOOKUP(C39,Customers!$A:$F,3,FALSE)</f>
        <v>42</v>
      </c>
      <c r="Q39" t="str">
        <f>VLOOKUP(E39,Sales_Reps!$A:$E,3,FALSE)</f>
        <v>North</v>
      </c>
      <c r="R39" t="str">
        <f>VLOOKUP(E39,Sales_Reps!$A:$E,2,FALSE)</f>
        <v>Rajesh Malhotra</v>
      </c>
      <c r="S39">
        <f t="shared" si="0"/>
        <v>0.22631578947368422</v>
      </c>
    </row>
    <row r="40" spans="1:19" x14ac:dyDescent="0.3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L40" t="str">
        <f>VLOOKUP(D40,Products!$A:$F,3,FALSE)</f>
        <v>Sports</v>
      </c>
      <c r="M40" t="b">
        <f>VLOOKUP(D40,Products!$A:$F,6,FALSE)</f>
        <v>1</v>
      </c>
      <c r="N40">
        <f>VLOOKUP(D40,Products!$A:$F,4,FALSE)</f>
        <v>974</v>
      </c>
      <c r="O40" t="str">
        <f>VLOOKUP(C40,Customers!$A:$F,5,FALSE)</f>
        <v>Retail</v>
      </c>
      <c r="P40">
        <f>VLOOKUP(C40,Customers!$A:$F,3,FALSE)</f>
        <v>51</v>
      </c>
      <c r="Q40" t="str">
        <f>VLOOKUP(E40,Sales_Reps!$A:$E,3,FALSE)</f>
        <v>South</v>
      </c>
      <c r="R40" t="str">
        <f>VLOOKUP(E40,Sales_Reps!$A:$E,2,FALSE)</f>
        <v>Deepak Shah</v>
      </c>
      <c r="S40">
        <f t="shared" si="0"/>
        <v>0.59416666666666662</v>
      </c>
    </row>
    <row r="41" spans="1:19" x14ac:dyDescent="0.3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L41" t="str">
        <f>VLOOKUP(D41,Products!$A:$F,3,FALSE)</f>
        <v>Beauty</v>
      </c>
      <c r="M41" t="b">
        <f>VLOOKUP(D41,Products!$A:$F,6,FALSE)</f>
        <v>1</v>
      </c>
      <c r="N41">
        <f>VLOOKUP(D41,Products!$A:$F,4,FALSE)</f>
        <v>1222</v>
      </c>
      <c r="O41" t="str">
        <f>VLOOKUP(C41,Customers!$A:$F,5,FALSE)</f>
        <v>SMB</v>
      </c>
      <c r="P41">
        <f>VLOOKUP(C41,Customers!$A:$F,3,FALSE)</f>
        <v>50</v>
      </c>
      <c r="Q41" t="str">
        <f>VLOOKUP(E41,Sales_Reps!$A:$E,3,FALSE)</f>
        <v>East</v>
      </c>
      <c r="R41" t="str">
        <f>VLOOKUP(E41,Sales_Reps!$A:$E,2,FALSE)</f>
        <v>Vinod Kumar</v>
      </c>
      <c r="S41">
        <f t="shared" si="0"/>
        <v>0.2593939393939394</v>
      </c>
    </row>
    <row r="42" spans="1:19" x14ac:dyDescent="0.3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L42" t="str">
        <f>VLOOKUP(D42,Products!$A:$F,3,FALSE)</f>
        <v>Home</v>
      </c>
      <c r="M42" t="b">
        <f>VLOOKUP(D42,Products!$A:$F,6,FALSE)</f>
        <v>1</v>
      </c>
      <c r="N42">
        <f>VLOOKUP(D42,Products!$A:$F,4,FALSE)</f>
        <v>2549</v>
      </c>
      <c r="O42" t="e">
        <f>VLOOKUP(C42,Customers!$A:$F,5,FALSE)</f>
        <v>#N/A</v>
      </c>
      <c r="P42" t="e">
        <f>VLOOKUP(C42,Customers!$A:$F,3,FALSE)</f>
        <v>#N/A</v>
      </c>
      <c r="Q42" t="str">
        <f>VLOOKUP(E42,Sales_Reps!$A:$E,3,FALSE)</f>
        <v>North</v>
      </c>
      <c r="R42" t="str">
        <f>VLOOKUP(E42,Sales_Reps!$A:$E,2,FALSE)</f>
        <v>Neha Desai</v>
      </c>
      <c r="S42">
        <f t="shared" si="0"/>
        <v>0.53570127504553733</v>
      </c>
    </row>
    <row r="43" spans="1:19" x14ac:dyDescent="0.3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L43" t="str">
        <f>VLOOKUP(D43,Products!$A:$F,3,FALSE)</f>
        <v>Beauty</v>
      </c>
      <c r="M43" t="b">
        <f>VLOOKUP(D43,Products!$A:$F,6,FALSE)</f>
        <v>1</v>
      </c>
      <c r="N43">
        <f>VLOOKUP(D43,Products!$A:$F,4,FALSE)</f>
        <v>2768</v>
      </c>
      <c r="O43" t="str">
        <f>VLOOKUP(C43,Customers!$A:$F,5,FALSE)</f>
        <v>Retail</v>
      </c>
      <c r="P43">
        <f>VLOOKUP(C43,Customers!$A:$F,3,FALSE)</f>
        <v>53</v>
      </c>
      <c r="Q43" t="str">
        <f>VLOOKUP(E43,Sales_Reps!$A:$E,3,FALSE)</f>
        <v>South</v>
      </c>
      <c r="R43" t="str">
        <f>VLOOKUP(E43,Sales_Reps!$A:$E,2,FALSE)</f>
        <v>Ritu Menon</v>
      </c>
      <c r="S43">
        <f t="shared" si="0"/>
        <v>0.43278688524590164</v>
      </c>
    </row>
    <row r="44" spans="1:19" x14ac:dyDescent="0.3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  <c r="L44" t="str">
        <f>VLOOKUP(D44,Products!$A:$F,3,FALSE)</f>
        <v>Home</v>
      </c>
      <c r="M44" t="b">
        <f>VLOOKUP(D44,Products!$A:$F,6,FALSE)</f>
        <v>1</v>
      </c>
      <c r="N44">
        <f>VLOOKUP(D44,Products!$A:$F,4,FALSE)</f>
        <v>2135</v>
      </c>
      <c r="O44" t="str">
        <f>VLOOKUP(C44,Customers!$A:$F,5,FALSE)</f>
        <v>Retail</v>
      </c>
      <c r="P44">
        <f>VLOOKUP(C44,Customers!$A:$F,3,FALSE)</f>
        <v>37</v>
      </c>
      <c r="Q44" t="str">
        <f>VLOOKUP(E44,Sales_Reps!$A:$E,3,FALSE)</f>
        <v>East</v>
      </c>
      <c r="R44" t="str">
        <f>VLOOKUP(E44,Sales_Reps!$A:$E,2,FALSE)</f>
        <v>Prakash Shah</v>
      </c>
      <c r="S44">
        <f t="shared" si="0"/>
        <v>0.42761394101876676</v>
      </c>
    </row>
    <row r="45" spans="1:19" x14ac:dyDescent="0.3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  <c r="L45" t="str">
        <f>VLOOKUP(D45,Products!$A:$F,3,FALSE)</f>
        <v>Beauty</v>
      </c>
      <c r="M45" t="b">
        <f>VLOOKUP(D45,Products!$A:$F,6,FALSE)</f>
        <v>1</v>
      </c>
      <c r="N45">
        <f>VLOOKUP(D45,Products!$A:$F,4,FALSE)</f>
        <v>2420</v>
      </c>
      <c r="O45" t="str">
        <f>VLOOKUP(C45,Customers!$A:$F,5,FALSE)</f>
        <v>SMB</v>
      </c>
      <c r="P45">
        <f>VLOOKUP(C45,Customers!$A:$F,3,FALSE)</f>
        <v>54</v>
      </c>
      <c r="Q45" t="str">
        <f>VLOOKUP(E45,Sales_Reps!$A:$E,3,FALSE)</f>
        <v>West</v>
      </c>
      <c r="R45" t="str">
        <f>VLOOKUP(E45,Sales_Reps!$A:$E,2,FALSE)</f>
        <v>Arun Iyer</v>
      </c>
      <c r="S45">
        <f t="shared" si="0"/>
        <v>0.29855072463768118</v>
      </c>
    </row>
    <row r="46" spans="1:19" x14ac:dyDescent="0.3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  <c r="L46" t="str">
        <f>VLOOKUP(D46,Products!$A:$F,3,FALSE)</f>
        <v>Apparel</v>
      </c>
      <c r="M46" t="b">
        <f>VLOOKUP(D46,Products!$A:$F,6,FALSE)</f>
        <v>1</v>
      </c>
      <c r="N46">
        <f>VLOOKUP(D46,Products!$A:$F,4,FALSE)</f>
        <v>1173</v>
      </c>
      <c r="O46" t="str">
        <f>VLOOKUP(C46,Customers!$A:$F,5,FALSE)</f>
        <v>SMB</v>
      </c>
      <c r="P46">
        <f>VLOOKUP(C46,Customers!$A:$F,3,FALSE)</f>
        <v>64</v>
      </c>
      <c r="Q46" t="str">
        <f>VLOOKUP(E46,Sales_Reps!$A:$E,3,FALSE)</f>
        <v>East</v>
      </c>
      <c r="R46" t="str">
        <f>VLOOKUP(E46,Sales_Reps!$A:$E,2,FALSE)</f>
        <v>Prakash Shah</v>
      </c>
      <c r="S46">
        <f t="shared" si="0"/>
        <v>0.52701612903225803</v>
      </c>
    </row>
    <row r="47" spans="1:19" x14ac:dyDescent="0.3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  <c r="L47" t="str">
        <f>VLOOKUP(D47,Products!$A:$F,3,FALSE)</f>
        <v>Grocery</v>
      </c>
      <c r="M47" t="b">
        <f>VLOOKUP(D47,Products!$A:$F,6,FALSE)</f>
        <v>1</v>
      </c>
      <c r="N47">
        <f>VLOOKUP(D47,Products!$A:$F,4,FALSE)</f>
        <v>2436</v>
      </c>
      <c r="O47" t="str">
        <f>VLOOKUP(C47,Customers!$A:$F,5,FALSE)</f>
        <v>SMB</v>
      </c>
      <c r="P47">
        <f>VLOOKUP(C47,Customers!$A:$F,3,FALSE)</f>
        <v>29</v>
      </c>
      <c r="Q47" t="str">
        <f>VLOOKUP(E47,Sales_Reps!$A:$E,3,FALSE)</f>
        <v>South</v>
      </c>
      <c r="R47" t="str">
        <f>VLOOKUP(E47,Sales_Reps!$A:$E,2,FALSE)</f>
        <v>Deepak Shah</v>
      </c>
      <c r="S47">
        <f t="shared" si="0"/>
        <v>0.35555555555555557</v>
      </c>
    </row>
    <row r="48" spans="1:19" x14ac:dyDescent="0.3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  <c r="L48" t="str">
        <f>VLOOKUP(D48,Products!$A:$F,3,FALSE)</f>
        <v>Apparel</v>
      </c>
      <c r="M48" t="b">
        <f>VLOOKUP(D48,Products!$A:$F,6,FALSE)</f>
        <v>1</v>
      </c>
      <c r="N48">
        <f>VLOOKUP(D48,Products!$A:$F,4,FALSE)</f>
        <v>2611</v>
      </c>
      <c r="O48" t="str">
        <f>VLOOKUP(C48,Customers!$A:$F,5,FALSE)</f>
        <v>Retail</v>
      </c>
      <c r="P48">
        <f>VLOOKUP(C48,Customers!$A:$F,3,FALSE)</f>
        <v>64</v>
      </c>
      <c r="Q48" t="str">
        <f>VLOOKUP(E48,Sales_Reps!$A:$E,3,FALSE)</f>
        <v>East</v>
      </c>
      <c r="R48" t="str">
        <f>VLOOKUP(E48,Sales_Reps!$A:$E,2,FALSE)</f>
        <v>Naveen Singh</v>
      </c>
      <c r="S48">
        <f t="shared" si="0"/>
        <v>0.28269230769230769</v>
      </c>
    </row>
    <row r="49" spans="1:19" x14ac:dyDescent="0.3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  <c r="L49" t="str">
        <f>VLOOKUP(D49,Products!$A:$F,3,FALSE)</f>
        <v>Beauty</v>
      </c>
      <c r="M49" t="b">
        <f>VLOOKUP(D49,Products!$A:$F,6,FALSE)</f>
        <v>1</v>
      </c>
      <c r="N49">
        <f>VLOOKUP(D49,Products!$A:$F,4,FALSE)</f>
        <v>2617</v>
      </c>
      <c r="O49" t="e">
        <f>VLOOKUP(C49,Customers!$A:$F,5,FALSE)</f>
        <v>#N/A</v>
      </c>
      <c r="P49" t="e">
        <f>VLOOKUP(C49,Customers!$A:$F,3,FALSE)</f>
        <v>#N/A</v>
      </c>
      <c r="Q49" t="str">
        <f>VLOOKUP(E49,Sales_Reps!$A:$E,3,FALSE)</f>
        <v>North</v>
      </c>
      <c r="R49" t="str">
        <f>VLOOKUP(E49,Sales_Reps!$A:$E,2,FALSE)</f>
        <v>Amit Singh</v>
      </c>
      <c r="S49">
        <f t="shared" si="0"/>
        <v>0.56957236842105263</v>
      </c>
    </row>
    <row r="50" spans="1:19" x14ac:dyDescent="0.3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  <c r="L50" t="str">
        <f>VLOOKUP(D50,Products!$A:$F,3,FALSE)</f>
        <v>Grocery</v>
      </c>
      <c r="M50" t="b">
        <f>VLOOKUP(D50,Products!$A:$F,6,FALSE)</f>
        <v>1</v>
      </c>
      <c r="N50">
        <f>VLOOKUP(D50,Products!$A:$F,4,FALSE)</f>
        <v>434</v>
      </c>
      <c r="O50" t="str">
        <f>VLOOKUP(C50,Customers!$A:$F,5,FALSE)</f>
        <v>SMB</v>
      </c>
      <c r="P50">
        <f>VLOOKUP(C50,Customers!$A:$F,3,FALSE)</f>
        <v>52</v>
      </c>
      <c r="Q50" t="str">
        <f>VLOOKUP(E50,Sales_Reps!$A:$E,3,FALSE)</f>
        <v>North</v>
      </c>
      <c r="R50" t="str">
        <f>VLOOKUP(E50,Sales_Reps!$A:$E,2,FALSE)</f>
        <v>Suresh Menon</v>
      </c>
      <c r="S50">
        <f t="shared" si="0"/>
        <v>0.5525773195876289</v>
      </c>
    </row>
    <row r="51" spans="1:19" x14ac:dyDescent="0.3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  <c r="L51" t="str">
        <f>VLOOKUP(D51,Products!$A:$F,3,FALSE)</f>
        <v>Grocery</v>
      </c>
      <c r="M51" t="b">
        <f>VLOOKUP(D51,Products!$A:$F,6,FALSE)</f>
        <v>1</v>
      </c>
      <c r="N51">
        <f>VLOOKUP(D51,Products!$A:$F,4,FALSE)</f>
        <v>1412</v>
      </c>
      <c r="O51" t="str">
        <f>VLOOKUP(C51,Customers!$A:$F,5,FALSE)</f>
        <v>Corporate</v>
      </c>
      <c r="P51">
        <f>VLOOKUP(C51,Customers!$A:$F,3,FALSE)</f>
        <v>52</v>
      </c>
      <c r="Q51" t="str">
        <f>VLOOKUP(E51,Sales_Reps!$A:$E,3,FALSE)</f>
        <v>West</v>
      </c>
      <c r="R51" t="str">
        <f>VLOOKUP(E51,Sales_Reps!$A:$E,2,FALSE)</f>
        <v>Preeti Shah</v>
      </c>
      <c r="S51">
        <f t="shared" si="0"/>
        <v>0.37797356828193834</v>
      </c>
    </row>
    <row r="52" spans="1:19" x14ac:dyDescent="0.3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  <c r="L52" t="str">
        <f>VLOOKUP(D52,Products!$A:$F,3,FALSE)</f>
        <v>Electronics</v>
      </c>
      <c r="M52" t="b">
        <f>VLOOKUP(D52,Products!$A:$F,6,FALSE)</f>
        <v>1</v>
      </c>
      <c r="N52">
        <f>VLOOKUP(D52,Products!$A:$F,4,FALSE)</f>
        <v>1559</v>
      </c>
      <c r="O52" t="str">
        <f>VLOOKUP(C52,Customers!$A:$F,5,FALSE)</f>
        <v>Retail</v>
      </c>
      <c r="P52">
        <f>VLOOKUP(C52,Customers!$A:$F,3,FALSE)</f>
        <v>34</v>
      </c>
      <c r="Q52" t="str">
        <f>VLOOKUP(E52,Sales_Reps!$A:$E,3,FALSE)</f>
        <v>East</v>
      </c>
      <c r="R52" t="str">
        <f>VLOOKUP(E52,Sales_Reps!$A:$E,2,FALSE)</f>
        <v>Vinod Kumar</v>
      </c>
      <c r="S52">
        <f t="shared" si="0"/>
        <v>0.59715762273901807</v>
      </c>
    </row>
    <row r="53" spans="1:19" x14ac:dyDescent="0.3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  <c r="L53" t="str">
        <f>VLOOKUP(D53,Products!$A:$F,3,FALSE)</f>
        <v>Beauty</v>
      </c>
      <c r="M53" t="b">
        <f>VLOOKUP(D53,Products!$A:$F,6,FALSE)</f>
        <v>1</v>
      </c>
      <c r="N53">
        <f>VLOOKUP(D53,Products!$A:$F,4,FALSE)</f>
        <v>2768</v>
      </c>
      <c r="O53" t="str">
        <f>VLOOKUP(C53,Customers!$A:$F,5,FALSE)</f>
        <v>SMB</v>
      </c>
      <c r="P53">
        <f>VLOOKUP(C53,Customers!$A:$F,3,FALSE)</f>
        <v>34</v>
      </c>
      <c r="Q53" t="str">
        <f>VLOOKUP(E53,Sales_Reps!$A:$E,3,FALSE)</f>
        <v>South</v>
      </c>
      <c r="R53" t="str">
        <f>VLOOKUP(E53,Sales_Reps!$A:$E,2,FALSE)</f>
        <v>Manoj Patel</v>
      </c>
      <c r="S53">
        <f t="shared" si="0"/>
        <v>0.43278688524590164</v>
      </c>
    </row>
    <row r="54" spans="1:19" x14ac:dyDescent="0.3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  <c r="L54" t="str">
        <f>VLOOKUP(D54,Products!$A:$F,3,FALSE)</f>
        <v>Grocery</v>
      </c>
      <c r="M54" t="b">
        <f>VLOOKUP(D54,Products!$A:$F,6,FALSE)</f>
        <v>1</v>
      </c>
      <c r="N54">
        <f>VLOOKUP(D54,Products!$A:$F,4,FALSE)</f>
        <v>2436</v>
      </c>
      <c r="O54" t="str">
        <f>VLOOKUP(C54,Customers!$A:$F,5,FALSE)</f>
        <v>Retail</v>
      </c>
      <c r="P54">
        <f>VLOOKUP(C54,Customers!$A:$F,3,FALSE)</f>
        <v>36</v>
      </c>
      <c r="Q54" t="str">
        <f>VLOOKUP(E54,Sales_Reps!$A:$E,3,FALSE)</f>
        <v>South</v>
      </c>
      <c r="R54" t="str">
        <f>VLOOKUP(E54,Sales_Reps!$A:$E,2,FALSE)</f>
        <v>Sanjay Kapoor</v>
      </c>
      <c r="S54">
        <f t="shared" si="0"/>
        <v>0.35555555555555557</v>
      </c>
    </row>
    <row r="55" spans="1:19" x14ac:dyDescent="0.3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  <c r="L55" t="str">
        <f>VLOOKUP(D55,Products!$A:$F,3,FALSE)</f>
        <v>Home</v>
      </c>
      <c r="M55" t="b">
        <f>VLOOKUP(D55,Products!$A:$F,6,FALSE)</f>
        <v>1</v>
      </c>
      <c r="N55">
        <f>VLOOKUP(D55,Products!$A:$F,4,FALSE)</f>
        <v>1556</v>
      </c>
      <c r="O55" t="str">
        <f>VLOOKUP(C55,Customers!$A:$F,5,FALSE)</f>
        <v>Retail</v>
      </c>
      <c r="P55">
        <f>VLOOKUP(C55,Customers!$A:$F,3,FALSE)</f>
        <v>24</v>
      </c>
      <c r="Q55" t="str">
        <f>VLOOKUP(E55,Sales_Reps!$A:$E,3,FALSE)</f>
        <v>East</v>
      </c>
      <c r="R55" t="str">
        <f>VLOOKUP(E55,Sales_Reps!$A:$E,2,FALSE)</f>
        <v>Meera Iyer</v>
      </c>
      <c r="S55">
        <f t="shared" si="0"/>
        <v>0.52123076923076928</v>
      </c>
    </row>
    <row r="56" spans="1:19" x14ac:dyDescent="0.3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  <c r="L56" t="str">
        <f>VLOOKUP(D56,Products!$A:$F,3,FALSE)</f>
        <v>Apparel</v>
      </c>
      <c r="M56" t="b">
        <f>VLOOKUP(D56,Products!$A:$F,6,FALSE)</f>
        <v>1</v>
      </c>
      <c r="N56">
        <f>VLOOKUP(D56,Products!$A:$F,4,FALSE)</f>
        <v>2611</v>
      </c>
      <c r="O56" t="str">
        <f>VLOOKUP(C56,Customers!$A:$F,5,FALSE)</f>
        <v>Retail</v>
      </c>
      <c r="P56">
        <f>VLOOKUP(C56,Customers!$A:$F,3,FALSE)</f>
        <v>27</v>
      </c>
      <c r="Q56" t="str">
        <f>VLOOKUP(E56,Sales_Reps!$A:$E,3,FALSE)</f>
        <v>North</v>
      </c>
      <c r="R56" t="str">
        <f>VLOOKUP(E56,Sales_Reps!$A:$E,2,FALSE)</f>
        <v>Suresh Menon</v>
      </c>
      <c r="S56">
        <f t="shared" si="0"/>
        <v>0.28269230769230769</v>
      </c>
    </row>
    <row r="57" spans="1:19" x14ac:dyDescent="0.3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  <c r="L57" t="str">
        <f>VLOOKUP(D57,Products!$A:$F,3,FALSE)</f>
        <v>Beauty</v>
      </c>
      <c r="M57" t="b">
        <f>VLOOKUP(D57,Products!$A:$F,6,FALSE)</f>
        <v>0</v>
      </c>
      <c r="N57">
        <f>VLOOKUP(D57,Products!$A:$F,4,FALSE)</f>
        <v>647</v>
      </c>
      <c r="O57" t="str">
        <f>VLOOKUP(C57,Customers!$A:$F,5,FALSE)</f>
        <v>SMB</v>
      </c>
      <c r="P57">
        <f>VLOOKUP(C57,Customers!$A:$F,3,FALSE)</f>
        <v>55</v>
      </c>
      <c r="Q57" t="str">
        <f>VLOOKUP(E57,Sales_Reps!$A:$E,3,FALSE)</f>
        <v>East</v>
      </c>
      <c r="R57" t="str">
        <f>VLOOKUP(E57,Sales_Reps!$A:$E,2,FALSE)</f>
        <v>Vinod Kumar</v>
      </c>
      <c r="S57">
        <f t="shared" si="0"/>
        <v>0.57987012987012987</v>
      </c>
    </row>
    <row r="58" spans="1:19" x14ac:dyDescent="0.3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  <c r="L58" t="str">
        <f>VLOOKUP(D58,Products!$A:$F,3,FALSE)</f>
        <v>Home</v>
      </c>
      <c r="M58" t="b">
        <f>VLOOKUP(D58,Products!$A:$F,6,FALSE)</f>
        <v>1</v>
      </c>
      <c r="N58">
        <f>VLOOKUP(D58,Products!$A:$F,4,FALSE)</f>
        <v>519</v>
      </c>
      <c r="O58" t="str">
        <f>VLOOKUP(C58,Customers!$A:$F,5,FALSE)</f>
        <v>Retail</v>
      </c>
      <c r="P58">
        <f>VLOOKUP(C58,Customers!$A:$F,3,FALSE)</f>
        <v>54</v>
      </c>
      <c r="Q58" t="str">
        <f>VLOOKUP(E58,Sales_Reps!$A:$E,3,FALSE)</f>
        <v>East</v>
      </c>
      <c r="R58" t="str">
        <f>VLOOKUP(E58,Sales_Reps!$A:$E,2,FALSE)</f>
        <v>Naveen Singh</v>
      </c>
      <c r="S58">
        <f t="shared" si="0"/>
        <v>0.51944444444444449</v>
      </c>
    </row>
    <row r="59" spans="1:19" x14ac:dyDescent="0.3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  <c r="L59" t="str">
        <f>VLOOKUP(D59,Products!$A:$F,3,FALSE)</f>
        <v>Grocery</v>
      </c>
      <c r="M59" t="b">
        <f>VLOOKUP(D59,Products!$A:$F,6,FALSE)</f>
        <v>1</v>
      </c>
      <c r="N59">
        <f>VLOOKUP(D59,Products!$A:$F,4,FALSE)</f>
        <v>2027</v>
      </c>
      <c r="O59" t="str">
        <f>VLOOKUP(C59,Customers!$A:$F,5,FALSE)</f>
        <v>Retail</v>
      </c>
      <c r="P59">
        <f>VLOOKUP(C59,Customers!$A:$F,3,FALSE)</f>
        <v>53</v>
      </c>
      <c r="Q59" t="str">
        <f>VLOOKUP(E59,Sales_Reps!$A:$E,3,FALSE)</f>
        <v>North</v>
      </c>
      <c r="R59" t="str">
        <f>VLOOKUP(E59,Sales_Reps!$A:$E,2,FALSE)</f>
        <v>Suresh Menon</v>
      </c>
      <c r="S59">
        <f t="shared" si="0"/>
        <v>0.50196560196560192</v>
      </c>
    </row>
    <row r="60" spans="1:19" x14ac:dyDescent="0.3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  <c r="L60" t="str">
        <f>VLOOKUP(D60,Products!$A:$F,3,FALSE)</f>
        <v>Electronics</v>
      </c>
      <c r="M60" t="b">
        <f>VLOOKUP(D60,Products!$A:$F,6,FALSE)</f>
        <v>1</v>
      </c>
      <c r="N60">
        <f>VLOOKUP(D60,Products!$A:$F,4,FALSE)</f>
        <v>517</v>
      </c>
      <c r="O60" t="str">
        <f>VLOOKUP(C60,Customers!$A:$F,5,FALSE)</f>
        <v>Corporate</v>
      </c>
      <c r="P60">
        <f>VLOOKUP(C60,Customers!$A:$F,3,FALSE)</f>
        <v>55</v>
      </c>
      <c r="Q60" t="str">
        <f>VLOOKUP(E60,Sales_Reps!$A:$E,3,FALSE)</f>
        <v>West</v>
      </c>
      <c r="R60" t="str">
        <f>VLOOKUP(E60,Sales_Reps!$A:$E,2,FALSE)</f>
        <v>Kiran Bhatt</v>
      </c>
      <c r="S60">
        <f t="shared" si="0"/>
        <v>0.57622950819672136</v>
      </c>
    </row>
    <row r="61" spans="1:19" x14ac:dyDescent="0.3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  <c r="L61" t="str">
        <f>VLOOKUP(D61,Products!$A:$F,3,FALSE)</f>
        <v>Home</v>
      </c>
      <c r="M61" t="b">
        <f>VLOOKUP(D61,Products!$A:$F,6,FALSE)</f>
        <v>1</v>
      </c>
      <c r="N61">
        <f>VLOOKUP(D61,Products!$A:$F,4,FALSE)</f>
        <v>1850</v>
      </c>
      <c r="O61" t="str">
        <f>VLOOKUP(C61,Customers!$A:$F,5,FALSE)</f>
        <v>Retail</v>
      </c>
      <c r="P61">
        <f>VLOOKUP(C61,Customers!$A:$F,3,FALSE)</f>
        <v>40</v>
      </c>
      <c r="Q61" t="str">
        <f>VLOOKUP(E61,Sales_Reps!$A:$E,3,FALSE)</f>
        <v>West</v>
      </c>
      <c r="R61" t="str">
        <f>VLOOKUP(E61,Sales_Reps!$A:$E,2,FALSE)</f>
        <v>Arun Iyer</v>
      </c>
      <c r="S61">
        <f t="shared" si="0"/>
        <v>0.59869848156182215</v>
      </c>
    </row>
    <row r="62" spans="1:19" x14ac:dyDescent="0.3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  <c r="L62" t="str">
        <f>VLOOKUP(D62,Products!$A:$F,3,FALSE)</f>
        <v>Home</v>
      </c>
      <c r="M62" t="b">
        <f>VLOOKUP(D62,Products!$A:$F,6,FALSE)</f>
        <v>1</v>
      </c>
      <c r="N62">
        <f>VLOOKUP(D62,Products!$A:$F,4,FALSE)</f>
        <v>519</v>
      </c>
      <c r="O62" t="str">
        <f>VLOOKUP(C62,Customers!$A:$F,5,FALSE)</f>
        <v>SMB</v>
      </c>
      <c r="P62">
        <f>VLOOKUP(C62,Customers!$A:$F,3,FALSE)</f>
        <v>55</v>
      </c>
      <c r="Q62" t="str">
        <f>VLOOKUP(E62,Sales_Reps!$A:$E,3,FALSE)</f>
        <v>South</v>
      </c>
      <c r="R62" t="str">
        <f>VLOOKUP(E62,Sales_Reps!$A:$E,2,FALSE)</f>
        <v>Anil Verma</v>
      </c>
      <c r="S62">
        <f t="shared" si="0"/>
        <v>0.51944444444444449</v>
      </c>
    </row>
    <row r="63" spans="1:19" x14ac:dyDescent="0.3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  <c r="L63" t="str">
        <f>VLOOKUP(D63,Products!$A:$F,3,FALSE)</f>
        <v>Beauty</v>
      </c>
      <c r="M63" t="b">
        <f>VLOOKUP(D63,Products!$A:$F,6,FALSE)</f>
        <v>1</v>
      </c>
      <c r="N63">
        <f>VLOOKUP(D63,Products!$A:$F,4,FALSE)</f>
        <v>1626</v>
      </c>
      <c r="O63" t="str">
        <f>VLOOKUP(C63,Customers!$A:$F,5,FALSE)</f>
        <v>Retail</v>
      </c>
      <c r="P63">
        <f>VLOOKUP(C63,Customers!$A:$F,3,FALSE)</f>
        <v>44</v>
      </c>
      <c r="Q63" t="str">
        <f>VLOOKUP(E63,Sales_Reps!$A:$E,3,FALSE)</f>
        <v>North</v>
      </c>
      <c r="R63" t="str">
        <f>VLOOKUP(E63,Sales_Reps!$A:$E,2,FALSE)</f>
        <v>Neha Desai</v>
      </c>
      <c r="S63">
        <f t="shared" si="0"/>
        <v>0.46158940397350995</v>
      </c>
    </row>
    <row r="64" spans="1:19" x14ac:dyDescent="0.3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  <c r="L64" t="str">
        <f>VLOOKUP(D64,Products!$A:$F,3,FALSE)</f>
        <v>Electronics</v>
      </c>
      <c r="M64" t="b">
        <f>VLOOKUP(D64,Products!$A:$F,6,FALSE)</f>
        <v>0</v>
      </c>
      <c r="N64">
        <f>VLOOKUP(D64,Products!$A:$F,4,FALSE)</f>
        <v>1259</v>
      </c>
      <c r="O64" t="str">
        <f>VLOOKUP(C64,Customers!$A:$F,5,FALSE)</f>
        <v>Corporate</v>
      </c>
      <c r="P64">
        <f>VLOOKUP(C64,Customers!$A:$F,3,FALSE)</f>
        <v>29</v>
      </c>
      <c r="Q64" t="str">
        <f>VLOOKUP(E64,Sales_Reps!$A:$E,3,FALSE)</f>
        <v>East</v>
      </c>
      <c r="R64" t="str">
        <f>VLOOKUP(E64,Sales_Reps!$A:$E,2,FALSE)</f>
        <v>Naveen Singh</v>
      </c>
      <c r="S64">
        <f t="shared" si="0"/>
        <v>0.52669172932330832</v>
      </c>
    </row>
    <row r="65" spans="1:19" x14ac:dyDescent="0.3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  <c r="L65" t="str">
        <f>VLOOKUP(D65,Products!$A:$F,3,FALSE)</f>
        <v>Electronics</v>
      </c>
      <c r="M65" t="b">
        <f>VLOOKUP(D65,Products!$A:$F,6,FALSE)</f>
        <v>1</v>
      </c>
      <c r="N65">
        <f>VLOOKUP(D65,Products!$A:$F,4,FALSE)</f>
        <v>128</v>
      </c>
      <c r="O65" t="str">
        <f>VLOOKUP(C65,Customers!$A:$F,5,FALSE)</f>
        <v>Retail</v>
      </c>
      <c r="P65">
        <f>VLOOKUP(C65,Customers!$A:$F,3,FALSE)</f>
        <v>25</v>
      </c>
      <c r="Q65" t="str">
        <f>VLOOKUP(E65,Sales_Reps!$A:$E,3,FALSE)</f>
        <v>North</v>
      </c>
      <c r="R65" t="str">
        <f>VLOOKUP(E65,Sales_Reps!$A:$E,2,FALSE)</f>
        <v>Amit Singh</v>
      </c>
      <c r="S65">
        <f t="shared" si="0"/>
        <v>0.57333333333333336</v>
      </c>
    </row>
    <row r="66" spans="1:19" x14ac:dyDescent="0.3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  <c r="L66" t="str">
        <f>VLOOKUP(D66,Products!$A:$F,3,FALSE)</f>
        <v>Electronics</v>
      </c>
      <c r="M66" t="b">
        <f>VLOOKUP(D66,Products!$A:$F,6,FALSE)</f>
        <v>1</v>
      </c>
      <c r="N66">
        <f>VLOOKUP(D66,Products!$A:$F,4,FALSE)</f>
        <v>1149</v>
      </c>
      <c r="O66" t="str">
        <f>VLOOKUP(C66,Customers!$A:$F,5,FALSE)</f>
        <v>Retail</v>
      </c>
      <c r="P66">
        <f>VLOOKUP(C66,Customers!$A:$F,3,FALSE)</f>
        <v>28</v>
      </c>
      <c r="Q66" t="str">
        <f>VLOOKUP(E66,Sales_Reps!$A:$E,3,FALSE)</f>
        <v>East</v>
      </c>
      <c r="R66" t="str">
        <f>VLOOKUP(E66,Sales_Reps!$A:$E,2,FALSE)</f>
        <v>Nisha Menon</v>
      </c>
      <c r="S66">
        <f t="shared" si="0"/>
        <v>0.56477272727272732</v>
      </c>
    </row>
    <row r="67" spans="1:19" x14ac:dyDescent="0.3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  <c r="L67" t="str">
        <f>VLOOKUP(D67,Products!$A:$F,3,FALSE)</f>
        <v>Apparel</v>
      </c>
      <c r="M67" t="b">
        <f>VLOOKUP(D67,Products!$A:$F,6,FALSE)</f>
        <v>1</v>
      </c>
      <c r="N67">
        <f>VLOOKUP(D67,Products!$A:$F,4,FALSE)</f>
        <v>391</v>
      </c>
      <c r="O67" t="str">
        <f>VLOOKUP(C67,Customers!$A:$F,5,FALSE)</f>
        <v>SMB</v>
      </c>
      <c r="P67">
        <f>VLOOKUP(C67,Customers!$A:$F,3,FALSE)</f>
        <v>50</v>
      </c>
      <c r="Q67" t="str">
        <f>VLOOKUP(E67,Sales_Reps!$A:$E,3,FALSE)</f>
        <v>East</v>
      </c>
      <c r="R67" t="str">
        <f>VLOOKUP(E67,Sales_Reps!$A:$E,2,FALSE)</f>
        <v>Meera Iyer</v>
      </c>
      <c r="S67">
        <f t="shared" ref="S67:S130" si="1">IFERROR((G67-N67)/G67,"")</f>
        <v>0.52317073170731709</v>
      </c>
    </row>
    <row r="68" spans="1:19" x14ac:dyDescent="0.3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  <c r="L68" t="str">
        <f>VLOOKUP(D68,Products!$A:$F,3,FALSE)</f>
        <v>Grocery</v>
      </c>
      <c r="M68" t="b">
        <f>VLOOKUP(D68,Products!$A:$F,6,FALSE)</f>
        <v>1</v>
      </c>
      <c r="N68">
        <f>VLOOKUP(D68,Products!$A:$F,4,FALSE)</f>
        <v>1435</v>
      </c>
      <c r="O68" t="str">
        <f>VLOOKUP(C68,Customers!$A:$F,5,FALSE)</f>
        <v>Retail</v>
      </c>
      <c r="P68">
        <f>VLOOKUP(C68,Customers!$A:$F,3,FALSE)</f>
        <v>39</v>
      </c>
      <c r="Q68" t="str">
        <f>VLOOKUP(E68,Sales_Reps!$A:$E,3,FALSE)</f>
        <v>West</v>
      </c>
      <c r="R68" t="str">
        <f>VLOOKUP(E68,Sales_Reps!$A:$E,2,FALSE)</f>
        <v>Preeti Shah</v>
      </c>
      <c r="S68">
        <f t="shared" si="1"/>
        <v>0.48007246376811596</v>
      </c>
    </row>
    <row r="69" spans="1:19" x14ac:dyDescent="0.3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  <c r="L69" t="str">
        <f>VLOOKUP(D69,Products!$A:$F,3,FALSE)</f>
        <v>Apparel</v>
      </c>
      <c r="M69" t="b">
        <f>VLOOKUP(D69,Products!$A:$F,6,FALSE)</f>
        <v>1</v>
      </c>
      <c r="N69">
        <f>VLOOKUP(D69,Products!$A:$F,4,FALSE)</f>
        <v>2509</v>
      </c>
      <c r="O69" t="str">
        <f>VLOOKUP(C69,Customers!$A:$F,5,FALSE)</f>
        <v>Retail</v>
      </c>
      <c r="P69">
        <f>VLOOKUP(C69,Customers!$A:$F,3,FALSE)</f>
        <v>38</v>
      </c>
      <c r="Q69" t="str">
        <f>VLOOKUP(E69,Sales_Reps!$A:$E,3,FALSE)</f>
        <v>East</v>
      </c>
      <c r="R69" t="str">
        <f>VLOOKUP(E69,Sales_Reps!$A:$E,2,FALSE)</f>
        <v>Naveen Singh</v>
      </c>
      <c r="S69">
        <f t="shared" si="1"/>
        <v>0.3069060773480663</v>
      </c>
    </row>
    <row r="70" spans="1:19" x14ac:dyDescent="0.3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  <c r="L70" t="str">
        <f>VLOOKUP(D70,Products!$A:$F,3,FALSE)</f>
        <v>Apparel</v>
      </c>
      <c r="M70" t="b">
        <f>VLOOKUP(D70,Products!$A:$F,6,FALSE)</f>
        <v>1</v>
      </c>
      <c r="N70">
        <f>VLOOKUP(D70,Products!$A:$F,4,FALSE)</f>
        <v>396</v>
      </c>
      <c r="O70" t="str">
        <f>VLOOKUP(C70,Customers!$A:$F,5,FALSE)</f>
        <v>Retail</v>
      </c>
      <c r="P70">
        <f>VLOOKUP(C70,Customers!$A:$F,3,FALSE)</f>
        <v>35</v>
      </c>
      <c r="Q70" t="str">
        <f>VLOOKUP(E70,Sales_Reps!$A:$E,3,FALSE)</f>
        <v>West</v>
      </c>
      <c r="R70" t="str">
        <f>VLOOKUP(E70,Sales_Reps!$A:$E,2,FALSE)</f>
        <v>Ashok Reddy</v>
      </c>
      <c r="S70">
        <f t="shared" si="1"/>
        <v>0.36129032258064514</v>
      </c>
    </row>
    <row r="71" spans="1:19" x14ac:dyDescent="0.3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  <c r="L71" t="str">
        <f>VLOOKUP(D71,Products!$A:$F,3,FALSE)</f>
        <v>Home</v>
      </c>
      <c r="M71" t="b">
        <f>VLOOKUP(D71,Products!$A:$F,6,FALSE)</f>
        <v>1</v>
      </c>
      <c r="N71">
        <f>VLOOKUP(D71,Products!$A:$F,4,FALSE)</f>
        <v>1143</v>
      </c>
      <c r="O71" t="str">
        <f>VLOOKUP(C71,Customers!$A:$F,5,FALSE)</f>
        <v>SMB</v>
      </c>
      <c r="P71">
        <f>VLOOKUP(C71,Customers!$A:$F,3,FALSE)</f>
        <v>43</v>
      </c>
      <c r="Q71" t="str">
        <f>VLOOKUP(E71,Sales_Reps!$A:$E,3,FALSE)</f>
        <v>West</v>
      </c>
      <c r="R71" t="str">
        <f>VLOOKUP(E71,Sales_Reps!$A:$E,2,FALSE)</f>
        <v>Kiran Bhatt</v>
      </c>
      <c r="S71">
        <f t="shared" si="1"/>
        <v>0.43694581280788175</v>
      </c>
    </row>
    <row r="72" spans="1:19" x14ac:dyDescent="0.3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  <c r="L72" t="str">
        <f>VLOOKUP(D72,Products!$A:$F,3,FALSE)</f>
        <v>Apparel</v>
      </c>
      <c r="M72" t="b">
        <f>VLOOKUP(D72,Products!$A:$F,6,FALSE)</f>
        <v>1</v>
      </c>
      <c r="N72">
        <f>VLOOKUP(D72,Products!$A:$F,4,FALSE)</f>
        <v>1886</v>
      </c>
      <c r="O72" t="str">
        <f>VLOOKUP(C72,Customers!$A:$F,5,FALSE)</f>
        <v>Retail</v>
      </c>
      <c r="P72">
        <f>VLOOKUP(C72,Customers!$A:$F,3,FALSE)</f>
        <v>36</v>
      </c>
      <c r="Q72" t="str">
        <f>VLOOKUP(E72,Sales_Reps!$A:$E,3,FALSE)</f>
        <v>North</v>
      </c>
      <c r="R72" t="str">
        <f>VLOOKUP(E72,Sales_Reps!$A:$E,2,FALSE)</f>
        <v>Sunita Malhotra</v>
      </c>
      <c r="S72">
        <f t="shared" si="1"/>
        <v>0.4031645569620253</v>
      </c>
    </row>
    <row r="73" spans="1:19" x14ac:dyDescent="0.3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  <c r="L73" t="str">
        <f>VLOOKUP(D73,Products!$A:$F,3,FALSE)</f>
        <v>Grocery</v>
      </c>
      <c r="M73" t="b">
        <f>VLOOKUP(D73,Products!$A:$F,6,FALSE)</f>
        <v>1</v>
      </c>
      <c r="N73">
        <f>VLOOKUP(D73,Products!$A:$F,4,FALSE)</f>
        <v>434</v>
      </c>
      <c r="O73" t="str">
        <f>VLOOKUP(C73,Customers!$A:$F,5,FALSE)</f>
        <v>Retail</v>
      </c>
      <c r="P73">
        <f>VLOOKUP(C73,Customers!$A:$F,3,FALSE)</f>
        <v>29</v>
      </c>
      <c r="Q73" t="str">
        <f>VLOOKUP(E73,Sales_Reps!$A:$E,3,FALSE)</f>
        <v>North</v>
      </c>
      <c r="R73" t="str">
        <f>VLOOKUP(E73,Sales_Reps!$A:$E,2,FALSE)</f>
        <v>Rajesh Malhotra</v>
      </c>
      <c r="S73">
        <f t="shared" si="1"/>
        <v>0.5525773195876289</v>
      </c>
    </row>
    <row r="74" spans="1:19" x14ac:dyDescent="0.3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  <c r="L74" t="str">
        <f>VLOOKUP(D74,Products!$A:$F,3,FALSE)</f>
        <v>Beauty</v>
      </c>
      <c r="M74" t="b">
        <f>VLOOKUP(D74,Products!$A:$F,6,FALSE)</f>
        <v>1</v>
      </c>
      <c r="N74">
        <f>VLOOKUP(D74,Products!$A:$F,4,FALSE)</f>
        <v>1728</v>
      </c>
      <c r="O74" t="str">
        <f>VLOOKUP(C74,Customers!$A:$F,5,FALSE)</f>
        <v>Retail</v>
      </c>
      <c r="P74">
        <f>VLOOKUP(C74,Customers!$A:$F,3,FALSE)</f>
        <v>41</v>
      </c>
      <c r="Q74" t="str">
        <f>VLOOKUP(E74,Sales_Reps!$A:$E,3,FALSE)</f>
        <v>North</v>
      </c>
      <c r="R74" t="str">
        <f>VLOOKUP(E74,Sales_Reps!$A:$E,2,FALSE)</f>
        <v>Amit Singh</v>
      </c>
      <c r="S74">
        <f t="shared" si="1"/>
        <v>0.48417910447761192</v>
      </c>
    </row>
    <row r="75" spans="1:19" x14ac:dyDescent="0.3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  <c r="L75" t="str">
        <f>VLOOKUP(D75,Products!$A:$F,3,FALSE)</f>
        <v>Home</v>
      </c>
      <c r="M75" t="b">
        <f>VLOOKUP(D75,Products!$A:$F,6,FALSE)</f>
        <v>1</v>
      </c>
      <c r="N75">
        <f>VLOOKUP(D75,Products!$A:$F,4,FALSE)</f>
        <v>288</v>
      </c>
      <c r="O75" t="str">
        <f>VLOOKUP(C75,Customers!$A:$F,5,FALSE)</f>
        <v>SMB</v>
      </c>
      <c r="P75">
        <f>VLOOKUP(C75,Customers!$A:$F,3,FALSE)</f>
        <v>55</v>
      </c>
      <c r="Q75" t="str">
        <f>VLOOKUP(E75,Sales_Reps!$A:$E,3,FALSE)</f>
        <v>East</v>
      </c>
      <c r="R75" t="str">
        <f>VLOOKUP(E75,Sales_Reps!$A:$E,2,FALSE)</f>
        <v>Shalini Patel</v>
      </c>
      <c r="S75">
        <f t="shared" si="1"/>
        <v>0.22162162162162163</v>
      </c>
    </row>
    <row r="76" spans="1:19" x14ac:dyDescent="0.3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  <c r="L76" t="str">
        <f>VLOOKUP(D76,Products!$A:$F,3,FALSE)</f>
        <v>Grocery</v>
      </c>
      <c r="M76" t="b">
        <f>VLOOKUP(D76,Products!$A:$F,6,FALSE)</f>
        <v>1</v>
      </c>
      <c r="N76">
        <f>VLOOKUP(D76,Products!$A:$F,4,FALSE)</f>
        <v>434</v>
      </c>
      <c r="O76" t="str">
        <f>VLOOKUP(C76,Customers!$A:$F,5,FALSE)</f>
        <v>Corporate</v>
      </c>
      <c r="P76">
        <f>VLOOKUP(C76,Customers!$A:$F,3,FALSE)</f>
        <v>46</v>
      </c>
      <c r="Q76" t="str">
        <f>VLOOKUP(E76,Sales_Reps!$A:$E,3,FALSE)</f>
        <v>South</v>
      </c>
      <c r="R76" t="str">
        <f>VLOOKUP(E76,Sales_Reps!$A:$E,2,FALSE)</f>
        <v>Divya Rao</v>
      </c>
      <c r="S76">
        <f t="shared" si="1"/>
        <v>0.5525773195876289</v>
      </c>
    </row>
    <row r="77" spans="1:19" x14ac:dyDescent="0.3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  <c r="L77" t="str">
        <f>VLOOKUP(D77,Products!$A:$F,3,FALSE)</f>
        <v>Grocery</v>
      </c>
      <c r="M77" t="b">
        <f>VLOOKUP(D77,Products!$A:$F,6,FALSE)</f>
        <v>1</v>
      </c>
      <c r="N77">
        <f>VLOOKUP(D77,Products!$A:$F,4,FALSE)</f>
        <v>1435</v>
      </c>
      <c r="O77" t="str">
        <f>VLOOKUP(C77,Customers!$A:$F,5,FALSE)</f>
        <v>SMB</v>
      </c>
      <c r="P77">
        <f>VLOOKUP(C77,Customers!$A:$F,3,FALSE)</f>
        <v>39</v>
      </c>
      <c r="Q77" t="str">
        <f>VLOOKUP(E77,Sales_Reps!$A:$E,3,FALSE)</f>
        <v>East</v>
      </c>
      <c r="R77" t="str">
        <f>VLOOKUP(E77,Sales_Reps!$A:$E,2,FALSE)</f>
        <v>Nisha Menon</v>
      </c>
      <c r="S77">
        <f t="shared" si="1"/>
        <v>0.48007246376811596</v>
      </c>
    </row>
    <row r="78" spans="1:19" x14ac:dyDescent="0.3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  <c r="L78" t="str">
        <f>VLOOKUP(D78,Products!$A:$F,3,FALSE)</f>
        <v>Grocery</v>
      </c>
      <c r="M78" t="b">
        <f>VLOOKUP(D78,Products!$A:$F,6,FALSE)</f>
        <v>1</v>
      </c>
      <c r="N78">
        <f>VLOOKUP(D78,Products!$A:$F,4,FALSE)</f>
        <v>1435</v>
      </c>
      <c r="O78" t="str">
        <f>VLOOKUP(C78,Customers!$A:$F,5,FALSE)</f>
        <v>SMB</v>
      </c>
      <c r="P78">
        <f>VLOOKUP(C78,Customers!$A:$F,3,FALSE)</f>
        <v>54</v>
      </c>
      <c r="Q78" t="str">
        <f>VLOOKUP(E78,Sales_Reps!$A:$E,3,FALSE)</f>
        <v>East</v>
      </c>
      <c r="R78" t="str">
        <f>VLOOKUP(E78,Sales_Reps!$A:$E,2,FALSE)</f>
        <v>Prakash Shah</v>
      </c>
      <c r="S78">
        <f t="shared" si="1"/>
        <v>0.48007246376811596</v>
      </c>
    </row>
    <row r="79" spans="1:19" x14ac:dyDescent="0.3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  <c r="L79" t="str">
        <f>VLOOKUP(D79,Products!$A:$F,3,FALSE)</f>
        <v>Electronics</v>
      </c>
      <c r="M79" t="b">
        <f>VLOOKUP(D79,Products!$A:$F,6,FALSE)</f>
        <v>1</v>
      </c>
      <c r="N79">
        <f>VLOOKUP(D79,Products!$A:$F,4,FALSE)</f>
        <v>517</v>
      </c>
      <c r="O79" t="str">
        <f>VLOOKUP(C79,Customers!$A:$F,5,FALSE)</f>
        <v>Retail</v>
      </c>
      <c r="P79">
        <f>VLOOKUP(C79,Customers!$A:$F,3,FALSE)</f>
        <v>42</v>
      </c>
      <c r="Q79" t="str">
        <f>VLOOKUP(E79,Sales_Reps!$A:$E,3,FALSE)</f>
        <v>East</v>
      </c>
      <c r="R79" t="str">
        <f>VLOOKUP(E79,Sales_Reps!$A:$E,2,FALSE)</f>
        <v>Nisha Menon</v>
      </c>
      <c r="S79">
        <f t="shared" si="1"/>
        <v>0.57622950819672136</v>
      </c>
    </row>
    <row r="80" spans="1:19" x14ac:dyDescent="0.3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  <c r="L80" t="str">
        <f>VLOOKUP(D80,Products!$A:$F,3,FALSE)</f>
        <v>Electronics</v>
      </c>
      <c r="M80" t="b">
        <f>VLOOKUP(D80,Products!$A:$F,6,FALSE)</f>
        <v>1</v>
      </c>
      <c r="N80">
        <f>VLOOKUP(D80,Products!$A:$F,4,FALSE)</f>
        <v>1052</v>
      </c>
      <c r="O80" t="str">
        <f>VLOOKUP(C80,Customers!$A:$F,5,FALSE)</f>
        <v>Retail</v>
      </c>
      <c r="P80">
        <f>VLOOKUP(C80,Customers!$A:$F,3,FALSE)</f>
        <v>46</v>
      </c>
      <c r="Q80" t="str">
        <f>VLOOKUP(E80,Sales_Reps!$A:$E,3,FALSE)</f>
        <v>West</v>
      </c>
      <c r="R80" t="str">
        <f>VLOOKUP(E80,Sales_Reps!$A:$E,2,FALSE)</f>
        <v>Preeti Shah</v>
      </c>
      <c r="S80">
        <f t="shared" si="1"/>
        <v>0.5953846153846154</v>
      </c>
    </row>
    <row r="81" spans="1:19" x14ac:dyDescent="0.3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  <c r="L81" t="str">
        <f>VLOOKUP(D81,Products!$A:$F,3,FALSE)</f>
        <v>Grocery</v>
      </c>
      <c r="M81" t="b">
        <f>VLOOKUP(D81,Products!$A:$F,6,FALSE)</f>
        <v>1</v>
      </c>
      <c r="N81">
        <f>VLOOKUP(D81,Products!$A:$F,4,FALSE)</f>
        <v>2027</v>
      </c>
      <c r="O81" t="str">
        <f>VLOOKUP(C81,Customers!$A:$F,5,FALSE)</f>
        <v>Corporate</v>
      </c>
      <c r="P81">
        <f>VLOOKUP(C81,Customers!$A:$F,3,FALSE)</f>
        <v>33</v>
      </c>
      <c r="Q81" t="str">
        <f>VLOOKUP(E81,Sales_Reps!$A:$E,3,FALSE)</f>
        <v>West</v>
      </c>
      <c r="R81" t="str">
        <f>VLOOKUP(E81,Sales_Reps!$A:$E,2,FALSE)</f>
        <v>Kiran Bhatt</v>
      </c>
      <c r="S81">
        <f t="shared" si="1"/>
        <v>0.50196560196560192</v>
      </c>
    </row>
    <row r="82" spans="1:19" x14ac:dyDescent="0.3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  <c r="L82" t="str">
        <f>VLOOKUP(D82,Products!$A:$F,3,FALSE)</f>
        <v>Grocery</v>
      </c>
      <c r="M82" t="b">
        <f>VLOOKUP(D82,Products!$A:$F,6,FALSE)</f>
        <v>1</v>
      </c>
      <c r="N82">
        <f>VLOOKUP(D82,Products!$A:$F,4,FALSE)</f>
        <v>1203</v>
      </c>
      <c r="O82" t="str">
        <f>VLOOKUP(C82,Customers!$A:$F,5,FALSE)</f>
        <v>SMB</v>
      </c>
      <c r="P82">
        <f>VLOOKUP(C82,Customers!$A:$F,3,FALSE)</f>
        <v>60</v>
      </c>
      <c r="Q82" t="str">
        <f>VLOOKUP(E82,Sales_Reps!$A:$E,3,FALSE)</f>
        <v>North</v>
      </c>
      <c r="R82" t="str">
        <f>VLOOKUP(E82,Sales_Reps!$A:$E,2,FALSE)</f>
        <v>Vikram Patel</v>
      </c>
      <c r="S82">
        <f t="shared" si="1"/>
        <v>0.47004405286343615</v>
      </c>
    </row>
    <row r="83" spans="1:19" x14ac:dyDescent="0.3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  <c r="L83" t="str">
        <f>VLOOKUP(D83,Products!$A:$F,3,FALSE)</f>
        <v>Apparel</v>
      </c>
      <c r="M83" t="b">
        <f>VLOOKUP(D83,Products!$A:$F,6,FALSE)</f>
        <v>1</v>
      </c>
      <c r="N83">
        <f>VLOOKUP(D83,Products!$A:$F,4,FALSE)</f>
        <v>1886</v>
      </c>
      <c r="O83" t="str">
        <f>VLOOKUP(C83,Customers!$A:$F,5,FALSE)</f>
        <v>SMB</v>
      </c>
      <c r="P83">
        <f>VLOOKUP(C83,Customers!$A:$F,3,FALSE)</f>
        <v>57</v>
      </c>
      <c r="Q83" t="str">
        <f>VLOOKUP(E83,Sales_Reps!$A:$E,3,FALSE)</f>
        <v>East</v>
      </c>
      <c r="R83" t="str">
        <f>VLOOKUP(E83,Sales_Reps!$A:$E,2,FALSE)</f>
        <v>Naveen Singh</v>
      </c>
      <c r="S83">
        <f t="shared" si="1"/>
        <v>0.4031645569620253</v>
      </c>
    </row>
    <row r="84" spans="1:19" x14ac:dyDescent="0.3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  <c r="L84" t="str">
        <f>VLOOKUP(D84,Products!$A:$F,3,FALSE)</f>
        <v>Apparel</v>
      </c>
      <c r="M84" t="b">
        <f>VLOOKUP(D84,Products!$A:$F,6,FALSE)</f>
        <v>1</v>
      </c>
      <c r="N84">
        <f>VLOOKUP(D84,Products!$A:$F,4,FALSE)</f>
        <v>1173</v>
      </c>
      <c r="O84" t="str">
        <f>VLOOKUP(C84,Customers!$A:$F,5,FALSE)</f>
        <v>SMB</v>
      </c>
      <c r="P84">
        <f>VLOOKUP(C84,Customers!$A:$F,3,FALSE)</f>
        <v>36</v>
      </c>
      <c r="Q84" t="str">
        <f>VLOOKUP(E84,Sales_Reps!$A:$E,3,FALSE)</f>
        <v>North</v>
      </c>
      <c r="R84" t="str">
        <f>VLOOKUP(E84,Sales_Reps!$A:$E,2,FALSE)</f>
        <v>Suresh Menon</v>
      </c>
      <c r="S84">
        <f t="shared" si="1"/>
        <v>0.52701612903225803</v>
      </c>
    </row>
    <row r="85" spans="1:19" x14ac:dyDescent="0.3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  <c r="L85" t="str">
        <f>VLOOKUP(D85,Products!$A:$F,3,FALSE)</f>
        <v>Electronics</v>
      </c>
      <c r="M85" t="b">
        <f>VLOOKUP(D85,Products!$A:$F,6,FALSE)</f>
        <v>0</v>
      </c>
      <c r="N85">
        <f>VLOOKUP(D85,Products!$A:$F,4,FALSE)</f>
        <v>1259</v>
      </c>
      <c r="O85" t="str">
        <f>VLOOKUP(C85,Customers!$A:$F,5,FALSE)</f>
        <v>Retail</v>
      </c>
      <c r="P85">
        <f>VLOOKUP(C85,Customers!$A:$F,3,FALSE)</f>
        <v>31</v>
      </c>
      <c r="Q85" t="str">
        <f>VLOOKUP(E85,Sales_Reps!$A:$E,3,FALSE)</f>
        <v>West</v>
      </c>
      <c r="R85" t="str">
        <f>VLOOKUP(E85,Sales_Reps!$A:$E,2,FALSE)</f>
        <v>Sonia Malhotra</v>
      </c>
      <c r="S85">
        <f t="shared" si="1"/>
        <v>0.52669172932330832</v>
      </c>
    </row>
    <row r="86" spans="1:19" x14ac:dyDescent="0.3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  <c r="L86" t="str">
        <f>VLOOKUP(D86,Products!$A:$F,3,FALSE)</f>
        <v>Beauty</v>
      </c>
      <c r="M86" t="b">
        <f>VLOOKUP(D86,Products!$A:$F,6,FALSE)</f>
        <v>1</v>
      </c>
      <c r="N86">
        <f>VLOOKUP(D86,Products!$A:$F,4,FALSE)</f>
        <v>1626</v>
      </c>
      <c r="O86" t="str">
        <f>VLOOKUP(C86,Customers!$A:$F,5,FALSE)</f>
        <v>Retail</v>
      </c>
      <c r="P86">
        <f>VLOOKUP(C86,Customers!$A:$F,3,FALSE)</f>
        <v>28</v>
      </c>
      <c r="Q86" t="str">
        <f>VLOOKUP(E86,Sales_Reps!$A:$E,3,FALSE)</f>
        <v>South</v>
      </c>
      <c r="R86" t="str">
        <f>VLOOKUP(E86,Sales_Reps!$A:$E,2,FALSE)</f>
        <v>Pooja Nair</v>
      </c>
      <c r="S86">
        <f t="shared" si="1"/>
        <v>0.46158940397350995</v>
      </c>
    </row>
    <row r="87" spans="1:19" x14ac:dyDescent="0.3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  <c r="L87" t="str">
        <f>VLOOKUP(D87,Products!$A:$F,3,FALSE)</f>
        <v>Apparel</v>
      </c>
      <c r="M87" t="b">
        <f>VLOOKUP(D87,Products!$A:$F,6,FALSE)</f>
        <v>1</v>
      </c>
      <c r="N87">
        <f>VLOOKUP(D87,Products!$A:$F,4,FALSE)</f>
        <v>396</v>
      </c>
      <c r="O87" t="str">
        <f>VLOOKUP(C87,Customers!$A:$F,5,FALSE)</f>
        <v>SMB</v>
      </c>
      <c r="P87">
        <f>VLOOKUP(C87,Customers!$A:$F,3,FALSE)</f>
        <v>44</v>
      </c>
      <c r="Q87" t="str">
        <f>VLOOKUP(E87,Sales_Reps!$A:$E,3,FALSE)</f>
        <v>West</v>
      </c>
      <c r="R87" t="str">
        <f>VLOOKUP(E87,Sales_Reps!$A:$E,2,FALSE)</f>
        <v>Kiran Bhatt</v>
      </c>
      <c r="S87">
        <f t="shared" si="1"/>
        <v>0.36129032258064514</v>
      </c>
    </row>
    <row r="88" spans="1:19" x14ac:dyDescent="0.3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  <c r="L88" t="str">
        <f>VLOOKUP(D88,Products!$A:$F,3,FALSE)</f>
        <v>Sports</v>
      </c>
      <c r="M88" t="b">
        <f>VLOOKUP(D88,Products!$A:$F,6,FALSE)</f>
        <v>0</v>
      </c>
      <c r="N88">
        <f>VLOOKUP(D88,Products!$A:$F,4,FALSE)</f>
        <v>302</v>
      </c>
      <c r="O88" t="str">
        <f>VLOOKUP(C88,Customers!$A:$F,5,FALSE)</f>
        <v>Retail</v>
      </c>
      <c r="P88">
        <f>VLOOKUP(C88,Customers!$A:$F,3,FALSE)</f>
        <v>28</v>
      </c>
      <c r="Q88" t="str">
        <f>VLOOKUP(E88,Sales_Reps!$A:$E,3,FALSE)</f>
        <v>West</v>
      </c>
      <c r="R88" t="str">
        <f>VLOOKUP(E88,Sales_Reps!$A:$E,2,FALSE)</f>
        <v>Sonia Malhotra</v>
      </c>
      <c r="S88">
        <f t="shared" si="1"/>
        <v>0.35744680851063831</v>
      </c>
    </row>
    <row r="89" spans="1:19" x14ac:dyDescent="0.3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  <c r="L89" t="str">
        <f>VLOOKUP(D89,Products!$A:$F,3,FALSE)</f>
        <v>Electronics</v>
      </c>
      <c r="M89" t="b">
        <f>VLOOKUP(D89,Products!$A:$F,6,FALSE)</f>
        <v>1</v>
      </c>
      <c r="N89">
        <f>VLOOKUP(D89,Products!$A:$F,4,FALSE)</f>
        <v>861</v>
      </c>
      <c r="O89" t="str">
        <f>VLOOKUP(C89,Customers!$A:$F,5,FALSE)</f>
        <v>Retail</v>
      </c>
      <c r="P89">
        <f>VLOOKUP(C89,Customers!$A:$F,3,FALSE)</f>
        <v>50</v>
      </c>
      <c r="Q89" t="str">
        <f>VLOOKUP(E89,Sales_Reps!$A:$E,3,FALSE)</f>
        <v>South</v>
      </c>
      <c r="R89" t="str">
        <f>VLOOKUP(E89,Sales_Reps!$A:$E,2,FALSE)</f>
        <v>Divya Rao</v>
      </c>
      <c r="S89">
        <f t="shared" si="1"/>
        <v>0.39790209790209791</v>
      </c>
    </row>
    <row r="90" spans="1:19" x14ac:dyDescent="0.3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  <c r="L90" t="str">
        <f>VLOOKUP(D90,Products!$A:$F,3,FALSE)</f>
        <v>Apparel</v>
      </c>
      <c r="M90" t="b">
        <f>VLOOKUP(D90,Products!$A:$F,6,FALSE)</f>
        <v>1</v>
      </c>
      <c r="N90">
        <f>VLOOKUP(D90,Products!$A:$F,4,FALSE)</f>
        <v>396</v>
      </c>
      <c r="O90" t="str">
        <f>VLOOKUP(C90,Customers!$A:$F,5,FALSE)</f>
        <v>Corporate</v>
      </c>
      <c r="P90">
        <f>VLOOKUP(C90,Customers!$A:$F,3,FALSE)</f>
        <v>59</v>
      </c>
      <c r="Q90" t="str">
        <f>VLOOKUP(E90,Sales_Reps!$A:$E,3,FALSE)</f>
        <v>North</v>
      </c>
      <c r="R90" t="str">
        <f>VLOOKUP(E90,Sales_Reps!$A:$E,2,FALSE)</f>
        <v>Priya Singh</v>
      </c>
      <c r="S90">
        <f t="shared" si="1"/>
        <v>0.36129032258064514</v>
      </c>
    </row>
    <row r="91" spans="1:19" x14ac:dyDescent="0.3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  <c r="L91" t="str">
        <f>VLOOKUP(D91,Products!$A:$F,3,FALSE)</f>
        <v>Electronics</v>
      </c>
      <c r="M91" t="b">
        <f>VLOOKUP(D91,Products!$A:$F,6,FALSE)</f>
        <v>1</v>
      </c>
      <c r="N91">
        <f>VLOOKUP(D91,Products!$A:$F,4,FALSE)</f>
        <v>1665</v>
      </c>
      <c r="O91" t="str">
        <f>VLOOKUP(C91,Customers!$A:$F,5,FALSE)</f>
        <v>SMB</v>
      </c>
      <c r="P91">
        <f>VLOOKUP(C91,Customers!$A:$F,3,FALSE)</f>
        <v>65</v>
      </c>
      <c r="Q91" t="str">
        <f>VLOOKUP(E91,Sales_Reps!$A:$E,3,FALSE)</f>
        <v>South</v>
      </c>
      <c r="R91" t="str">
        <f>VLOOKUP(E91,Sales_Reps!$A:$E,2,FALSE)</f>
        <v>Pooja Nair</v>
      </c>
      <c r="S91">
        <f t="shared" si="1"/>
        <v>0.53361344537815125</v>
      </c>
    </row>
    <row r="92" spans="1:19" x14ac:dyDescent="0.3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  <c r="L92" t="str">
        <f>VLOOKUP(D92,Products!$A:$F,3,FALSE)</f>
        <v>Grocery</v>
      </c>
      <c r="M92" t="b">
        <f>VLOOKUP(D92,Products!$A:$F,6,FALSE)</f>
        <v>1</v>
      </c>
      <c r="N92">
        <f>VLOOKUP(D92,Products!$A:$F,4,FALSE)</f>
        <v>1412</v>
      </c>
      <c r="O92" t="str">
        <f>VLOOKUP(C92,Customers!$A:$F,5,FALSE)</f>
        <v>Corporate</v>
      </c>
      <c r="P92">
        <f>VLOOKUP(C92,Customers!$A:$F,3,FALSE)</f>
        <v>46</v>
      </c>
      <c r="Q92" t="str">
        <f>VLOOKUP(E92,Sales_Reps!$A:$E,3,FALSE)</f>
        <v>South</v>
      </c>
      <c r="R92" t="str">
        <f>VLOOKUP(E92,Sales_Reps!$A:$E,2,FALSE)</f>
        <v>Divya Rao</v>
      </c>
      <c r="S92">
        <f t="shared" si="1"/>
        <v>0.37797356828193834</v>
      </c>
    </row>
    <row r="93" spans="1:19" x14ac:dyDescent="0.3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  <c r="L93" t="str">
        <f>VLOOKUP(D93,Products!$A:$F,3,FALSE)</f>
        <v>Apparel</v>
      </c>
      <c r="M93" t="b">
        <f>VLOOKUP(D93,Products!$A:$F,6,FALSE)</f>
        <v>1</v>
      </c>
      <c r="N93">
        <f>VLOOKUP(D93,Products!$A:$F,4,FALSE)</f>
        <v>1962</v>
      </c>
      <c r="O93" t="str">
        <f>VLOOKUP(C93,Customers!$A:$F,5,FALSE)</f>
        <v>Retail</v>
      </c>
      <c r="P93">
        <f>VLOOKUP(C93,Customers!$A:$F,3,FALSE)</f>
        <v>49</v>
      </c>
      <c r="Q93" t="str">
        <f>VLOOKUP(E93,Sales_Reps!$A:$E,3,FALSE)</f>
        <v>South</v>
      </c>
      <c r="R93" t="str">
        <f>VLOOKUP(E93,Sales_Reps!$A:$E,2,FALSE)</f>
        <v>Ritu Menon</v>
      </c>
      <c r="S93">
        <f t="shared" si="1"/>
        <v>0.2786764705882353</v>
      </c>
    </row>
    <row r="94" spans="1:19" x14ac:dyDescent="0.3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  <c r="L94" t="str">
        <f>VLOOKUP(D94,Products!$A:$F,3,FALSE)</f>
        <v>Grocery</v>
      </c>
      <c r="M94" t="b">
        <f>VLOOKUP(D94,Products!$A:$F,6,FALSE)</f>
        <v>1</v>
      </c>
      <c r="N94">
        <f>VLOOKUP(D94,Products!$A:$F,4,FALSE)</f>
        <v>1010</v>
      </c>
      <c r="O94" t="str">
        <f>VLOOKUP(C94,Customers!$A:$F,5,FALSE)</f>
        <v>Retail</v>
      </c>
      <c r="P94">
        <f>VLOOKUP(C94,Customers!$A:$F,3,FALSE)</f>
        <v>38</v>
      </c>
      <c r="Q94" t="str">
        <f>VLOOKUP(E94,Sales_Reps!$A:$E,3,FALSE)</f>
        <v>North</v>
      </c>
      <c r="R94" t="str">
        <f>VLOOKUP(E94,Sales_Reps!$A:$E,2,FALSE)</f>
        <v>Rajesh Malhotra</v>
      </c>
      <c r="S94">
        <f t="shared" si="1"/>
        <v>0.54298642533936647</v>
      </c>
    </row>
    <row r="95" spans="1:19" x14ac:dyDescent="0.3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  <c r="L95" t="str">
        <f>VLOOKUP(D95,Products!$A:$F,3,FALSE)</f>
        <v>Sports</v>
      </c>
      <c r="M95" t="b">
        <f>VLOOKUP(D95,Products!$A:$F,6,FALSE)</f>
        <v>1</v>
      </c>
      <c r="N95">
        <f>VLOOKUP(D95,Products!$A:$F,4,FALSE)</f>
        <v>147</v>
      </c>
      <c r="O95" t="str">
        <f>VLOOKUP(C95,Customers!$A:$F,5,FALSE)</f>
        <v>Retail</v>
      </c>
      <c r="P95">
        <f>VLOOKUP(C95,Customers!$A:$F,3,FALSE)</f>
        <v>25</v>
      </c>
      <c r="Q95" t="str">
        <f>VLOOKUP(E95,Sales_Reps!$A:$E,3,FALSE)</f>
        <v>West</v>
      </c>
      <c r="R95" t="str">
        <f>VLOOKUP(E95,Sales_Reps!$A:$E,2,FALSE)</f>
        <v>Sonia Malhotra</v>
      </c>
      <c r="S95">
        <f t="shared" si="1"/>
        <v>0.22631578947368422</v>
      </c>
    </row>
    <row r="96" spans="1:19" x14ac:dyDescent="0.3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  <c r="L96" t="str">
        <f>VLOOKUP(D96,Products!$A:$F,3,FALSE)</f>
        <v>Beauty</v>
      </c>
      <c r="M96" t="b">
        <f>VLOOKUP(D96,Products!$A:$F,6,FALSE)</f>
        <v>1</v>
      </c>
      <c r="N96">
        <f>VLOOKUP(D96,Products!$A:$F,4,FALSE)</f>
        <v>2237</v>
      </c>
      <c r="O96" t="str">
        <f>VLOOKUP(C96,Customers!$A:$F,5,FALSE)</f>
        <v>Retail</v>
      </c>
      <c r="P96">
        <f>VLOOKUP(C96,Customers!$A:$F,3,FALSE)</f>
        <v>26</v>
      </c>
      <c r="Q96" t="str">
        <f>VLOOKUP(E96,Sales_Reps!$A:$E,3,FALSE)</f>
        <v>West</v>
      </c>
      <c r="R96" t="str">
        <f>VLOOKUP(E96,Sales_Reps!$A:$E,2,FALSE)</f>
        <v>Ramesh Bhatt</v>
      </c>
      <c r="S96">
        <f t="shared" si="1"/>
        <v>0.56137254901960787</v>
      </c>
    </row>
    <row r="97" spans="1:19" x14ac:dyDescent="0.3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  <c r="L97" t="str">
        <f>VLOOKUP(D97,Products!$A:$F,3,FALSE)</f>
        <v>Sports</v>
      </c>
      <c r="M97" t="b">
        <f>VLOOKUP(D97,Products!$A:$F,6,FALSE)</f>
        <v>1</v>
      </c>
      <c r="N97">
        <f>VLOOKUP(D97,Products!$A:$F,4,FALSE)</f>
        <v>516</v>
      </c>
      <c r="O97" t="str">
        <f>VLOOKUP(C97,Customers!$A:$F,5,FALSE)</f>
        <v>Corporate</v>
      </c>
      <c r="P97">
        <f>VLOOKUP(C97,Customers!$A:$F,3,FALSE)</f>
        <v>38</v>
      </c>
      <c r="Q97" t="str">
        <f>VLOOKUP(E97,Sales_Reps!$A:$E,3,FALSE)</f>
        <v>South</v>
      </c>
      <c r="R97" t="str">
        <f>VLOOKUP(E97,Sales_Reps!$A:$E,2,FALSE)</f>
        <v>Anjali Chopra</v>
      </c>
      <c r="S97">
        <f t="shared" si="1"/>
        <v>0.4891089108910891</v>
      </c>
    </row>
    <row r="98" spans="1:19" x14ac:dyDescent="0.3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  <c r="L98" t="str">
        <f>VLOOKUP(D98,Products!$A:$F,3,FALSE)</f>
        <v>Home</v>
      </c>
      <c r="M98" t="b">
        <f>VLOOKUP(D98,Products!$A:$F,6,FALSE)</f>
        <v>1</v>
      </c>
      <c r="N98">
        <f>VLOOKUP(D98,Products!$A:$F,4,FALSE)</f>
        <v>2135</v>
      </c>
      <c r="O98" t="str">
        <f>VLOOKUP(C98,Customers!$A:$F,5,FALSE)</f>
        <v>Retail</v>
      </c>
      <c r="P98">
        <f>VLOOKUP(C98,Customers!$A:$F,3,FALSE)</f>
        <v>53</v>
      </c>
      <c r="Q98" t="str">
        <f>VLOOKUP(E98,Sales_Reps!$A:$E,3,FALSE)</f>
        <v>West</v>
      </c>
      <c r="R98" t="str">
        <f>VLOOKUP(E98,Sales_Reps!$A:$E,2,FALSE)</f>
        <v>Ashok Reddy</v>
      </c>
      <c r="S98">
        <f t="shared" si="1"/>
        <v>0.42761394101876676</v>
      </c>
    </row>
    <row r="99" spans="1:19" x14ac:dyDescent="0.3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  <c r="L99" t="str">
        <f>VLOOKUP(D99,Products!$A:$F,3,FALSE)</f>
        <v>Electronics</v>
      </c>
      <c r="M99" t="b">
        <f>VLOOKUP(D99,Products!$A:$F,6,FALSE)</f>
        <v>1</v>
      </c>
      <c r="N99">
        <f>VLOOKUP(D99,Products!$A:$F,4,FALSE)</f>
        <v>1052</v>
      </c>
      <c r="O99" t="str">
        <f>VLOOKUP(C99,Customers!$A:$F,5,FALSE)</f>
        <v>Retail</v>
      </c>
      <c r="P99">
        <f>VLOOKUP(C99,Customers!$A:$F,3,FALSE)</f>
        <v>41</v>
      </c>
      <c r="Q99" t="str">
        <f>VLOOKUP(E99,Sales_Reps!$A:$E,3,FALSE)</f>
        <v>West</v>
      </c>
      <c r="R99" t="str">
        <f>VLOOKUP(E99,Sales_Reps!$A:$E,2,FALSE)</f>
        <v>Preeti Shah</v>
      </c>
      <c r="S99">
        <f t="shared" si="1"/>
        <v>0.5953846153846154</v>
      </c>
    </row>
    <row r="100" spans="1:19" x14ac:dyDescent="0.3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  <c r="L100" t="str">
        <f>VLOOKUP(D100,Products!$A:$F,3,FALSE)</f>
        <v>Grocery</v>
      </c>
      <c r="M100" t="b">
        <f>VLOOKUP(D100,Products!$A:$F,6,FALSE)</f>
        <v>1</v>
      </c>
      <c r="N100">
        <f>VLOOKUP(D100,Products!$A:$F,4,FALSE)</f>
        <v>2911</v>
      </c>
      <c r="O100" t="str">
        <f>VLOOKUP(C100,Customers!$A:$F,5,FALSE)</f>
        <v>SMB</v>
      </c>
      <c r="P100">
        <f>VLOOKUP(C100,Customers!$A:$F,3,FALSE)</f>
        <v>22</v>
      </c>
      <c r="Q100" t="str">
        <f>VLOOKUP(E100,Sales_Reps!$A:$E,3,FALSE)</f>
        <v>North</v>
      </c>
      <c r="R100" t="str">
        <f>VLOOKUP(E100,Sales_Reps!$A:$E,2,FALSE)</f>
        <v>Neha Desai</v>
      </c>
      <c r="S100">
        <f t="shared" si="1"/>
        <v>0.28300492610837441</v>
      </c>
    </row>
    <row r="101" spans="1:19" x14ac:dyDescent="0.3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  <c r="L101" t="str">
        <f>VLOOKUP(D101,Products!$A:$F,3,FALSE)</f>
        <v>Beauty</v>
      </c>
      <c r="M101" t="b">
        <f>VLOOKUP(D101,Products!$A:$F,6,FALSE)</f>
        <v>1</v>
      </c>
      <c r="N101">
        <f>VLOOKUP(D101,Products!$A:$F,4,FALSE)</f>
        <v>2617</v>
      </c>
      <c r="O101" t="str">
        <f>VLOOKUP(C101,Customers!$A:$F,5,FALSE)</f>
        <v>Retail</v>
      </c>
      <c r="P101">
        <f>VLOOKUP(C101,Customers!$A:$F,3,FALSE)</f>
        <v>60</v>
      </c>
      <c r="Q101" t="str">
        <f>VLOOKUP(E101,Sales_Reps!$A:$E,3,FALSE)</f>
        <v>West</v>
      </c>
      <c r="R101" t="str">
        <f>VLOOKUP(E101,Sales_Reps!$A:$E,2,FALSE)</f>
        <v>Ramesh Bhatt</v>
      </c>
      <c r="S101">
        <f t="shared" si="1"/>
        <v>0.56957236842105263</v>
      </c>
    </row>
    <row r="102" spans="1:19" x14ac:dyDescent="0.3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  <c r="L102" t="str">
        <f>VLOOKUP(D102,Products!$A:$F,3,FALSE)</f>
        <v>Apparel</v>
      </c>
      <c r="M102" t="b">
        <f>VLOOKUP(D102,Products!$A:$F,6,FALSE)</f>
        <v>0</v>
      </c>
      <c r="N102">
        <f>VLOOKUP(D102,Products!$A:$F,4,FALSE)</f>
        <v>1075</v>
      </c>
      <c r="O102" t="str">
        <f>VLOOKUP(C102,Customers!$A:$F,5,FALSE)</f>
        <v>SMB</v>
      </c>
      <c r="P102">
        <f>VLOOKUP(C102,Customers!$A:$F,3,FALSE)</f>
        <v>44</v>
      </c>
      <c r="Q102" t="str">
        <f>VLOOKUP(E102,Sales_Reps!$A:$E,3,FALSE)</f>
        <v>West</v>
      </c>
      <c r="R102" t="str">
        <f>VLOOKUP(E102,Sales_Reps!$A:$E,2,FALSE)</f>
        <v>Preeti Shah</v>
      </c>
      <c r="S102">
        <f t="shared" si="1"/>
        <v>0.57171314741035861</v>
      </c>
    </row>
    <row r="103" spans="1:19" x14ac:dyDescent="0.3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  <c r="L103" t="str">
        <f>VLOOKUP(D103,Products!$A:$F,3,FALSE)</f>
        <v>Home</v>
      </c>
      <c r="M103" t="b">
        <f>VLOOKUP(D103,Products!$A:$F,6,FALSE)</f>
        <v>1</v>
      </c>
      <c r="N103">
        <f>VLOOKUP(D103,Products!$A:$F,4,FALSE)</f>
        <v>1556</v>
      </c>
      <c r="O103" t="str">
        <f>VLOOKUP(C103,Customers!$A:$F,5,FALSE)</f>
        <v>SMB</v>
      </c>
      <c r="P103">
        <f>VLOOKUP(C103,Customers!$A:$F,3,FALSE)</f>
        <v>38</v>
      </c>
      <c r="Q103" t="str">
        <f>VLOOKUP(E103,Sales_Reps!$A:$E,3,FALSE)</f>
        <v>West</v>
      </c>
      <c r="R103" t="str">
        <f>VLOOKUP(E103,Sales_Reps!$A:$E,2,FALSE)</f>
        <v>Sonia Malhotra</v>
      </c>
      <c r="S103">
        <f t="shared" si="1"/>
        <v>0.52123076923076928</v>
      </c>
    </row>
    <row r="104" spans="1:19" x14ac:dyDescent="0.3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  <c r="L104" t="str">
        <f>VLOOKUP(D104,Products!$A:$F,3,FALSE)</f>
        <v>Sports</v>
      </c>
      <c r="M104" t="b">
        <f>VLOOKUP(D104,Products!$A:$F,6,FALSE)</f>
        <v>1</v>
      </c>
      <c r="N104">
        <f>VLOOKUP(D104,Products!$A:$F,4,FALSE)</f>
        <v>2265</v>
      </c>
      <c r="O104" t="str">
        <f>VLOOKUP(C104,Customers!$A:$F,5,FALSE)</f>
        <v>SMB</v>
      </c>
      <c r="P104">
        <f>VLOOKUP(C104,Customers!$A:$F,3,FALSE)</f>
        <v>28</v>
      </c>
      <c r="Q104" t="str">
        <f>VLOOKUP(E104,Sales_Reps!$A:$E,3,FALSE)</f>
        <v>North</v>
      </c>
      <c r="R104" t="str">
        <f>VLOOKUP(E104,Sales_Reps!$A:$E,2,FALSE)</f>
        <v>Vikram Patel</v>
      </c>
      <c r="S104">
        <f t="shared" si="1"/>
        <v>0.58133086876155271</v>
      </c>
    </row>
    <row r="105" spans="1:19" x14ac:dyDescent="0.3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  <c r="L105" t="str">
        <f>VLOOKUP(D105,Products!$A:$F,3,FALSE)</f>
        <v>Electronics</v>
      </c>
      <c r="M105" t="b">
        <f>VLOOKUP(D105,Products!$A:$F,6,FALSE)</f>
        <v>1</v>
      </c>
      <c r="N105">
        <f>VLOOKUP(D105,Products!$A:$F,4,FALSE)</f>
        <v>1665</v>
      </c>
      <c r="O105" t="str">
        <f>VLOOKUP(C105,Customers!$A:$F,5,FALSE)</f>
        <v>Corporate</v>
      </c>
      <c r="P105">
        <f>VLOOKUP(C105,Customers!$A:$F,3,FALSE)</f>
        <v>51</v>
      </c>
      <c r="Q105" t="str">
        <f>VLOOKUP(E105,Sales_Reps!$A:$E,3,FALSE)</f>
        <v>East</v>
      </c>
      <c r="R105" t="str">
        <f>VLOOKUP(E105,Sales_Reps!$A:$E,2,FALSE)</f>
        <v>Shalini Patel</v>
      </c>
      <c r="S105">
        <f t="shared" si="1"/>
        <v>0.53361344537815125</v>
      </c>
    </row>
    <row r="106" spans="1:19" x14ac:dyDescent="0.3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  <c r="L106" t="str">
        <f>VLOOKUP(D106,Products!$A:$F,3,FALSE)</f>
        <v>Electronics</v>
      </c>
      <c r="M106" t="b">
        <f>VLOOKUP(D106,Products!$A:$F,6,FALSE)</f>
        <v>1</v>
      </c>
      <c r="N106">
        <f>VLOOKUP(D106,Products!$A:$F,4,FALSE)</f>
        <v>2405</v>
      </c>
      <c r="O106" t="str">
        <f>VLOOKUP(C106,Customers!$A:$F,5,FALSE)</f>
        <v>SMB</v>
      </c>
      <c r="P106">
        <f>VLOOKUP(C106,Customers!$A:$F,3,FALSE)</f>
        <v>22</v>
      </c>
      <c r="Q106" t="str">
        <f>VLOOKUP(E106,Sales_Reps!$A:$E,3,FALSE)</f>
        <v>North</v>
      </c>
      <c r="R106" t="str">
        <f>VLOOKUP(E106,Sales_Reps!$A:$E,2,FALSE)</f>
        <v>Amit Singh</v>
      </c>
      <c r="S106">
        <f t="shared" si="1"/>
        <v>0.54878048780487809</v>
      </c>
    </row>
    <row r="107" spans="1:19" x14ac:dyDescent="0.3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  <c r="L107" t="str">
        <f>VLOOKUP(D107,Products!$A:$F,3,FALSE)</f>
        <v>Grocery</v>
      </c>
      <c r="M107" t="b">
        <f>VLOOKUP(D107,Products!$A:$F,6,FALSE)</f>
        <v>1</v>
      </c>
      <c r="N107">
        <f>VLOOKUP(D107,Products!$A:$F,4,FALSE)</f>
        <v>1182</v>
      </c>
      <c r="O107" t="str">
        <f>VLOOKUP(C107,Customers!$A:$F,5,FALSE)</f>
        <v>Retail</v>
      </c>
      <c r="P107">
        <f>VLOOKUP(C107,Customers!$A:$F,3,FALSE)</f>
        <v>25</v>
      </c>
      <c r="Q107" t="str">
        <f>VLOOKUP(E107,Sales_Reps!$A:$E,3,FALSE)</f>
        <v>East</v>
      </c>
      <c r="R107" t="str">
        <f>VLOOKUP(E107,Sales_Reps!$A:$E,2,FALSE)</f>
        <v>Naveen Singh</v>
      </c>
      <c r="S107">
        <f t="shared" si="1"/>
        <v>0.50336134453781511</v>
      </c>
    </row>
    <row r="108" spans="1:19" x14ac:dyDescent="0.3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  <c r="L108" t="str">
        <f>VLOOKUP(D108,Products!$A:$F,3,FALSE)</f>
        <v>Sports</v>
      </c>
      <c r="M108" t="b">
        <f>VLOOKUP(D108,Products!$A:$F,6,FALSE)</f>
        <v>1</v>
      </c>
      <c r="N108">
        <f>VLOOKUP(D108,Products!$A:$F,4,FALSE)</f>
        <v>516</v>
      </c>
      <c r="O108" t="str">
        <f>VLOOKUP(C108,Customers!$A:$F,5,FALSE)</f>
        <v>SMB</v>
      </c>
      <c r="P108">
        <f>VLOOKUP(C108,Customers!$A:$F,3,FALSE)</f>
        <v>62</v>
      </c>
      <c r="Q108" t="str">
        <f>VLOOKUP(E108,Sales_Reps!$A:$E,3,FALSE)</f>
        <v>West</v>
      </c>
      <c r="R108" t="str">
        <f>VLOOKUP(E108,Sales_Reps!$A:$E,2,FALSE)</f>
        <v>Ramesh Bhatt</v>
      </c>
      <c r="S108">
        <f t="shared" si="1"/>
        <v>0.4891089108910891</v>
      </c>
    </row>
    <row r="109" spans="1:19" x14ac:dyDescent="0.3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  <c r="L109" t="str">
        <f>VLOOKUP(D109,Products!$A:$F,3,FALSE)</f>
        <v>Grocery</v>
      </c>
      <c r="M109" t="b">
        <f>VLOOKUP(D109,Products!$A:$F,6,FALSE)</f>
        <v>0</v>
      </c>
      <c r="N109">
        <f>VLOOKUP(D109,Products!$A:$F,4,FALSE)</f>
        <v>2214</v>
      </c>
      <c r="O109" t="str">
        <f>VLOOKUP(C109,Customers!$A:$F,5,FALSE)</f>
        <v>Retail</v>
      </c>
      <c r="P109">
        <f>VLOOKUP(C109,Customers!$A:$F,3,FALSE)</f>
        <v>42</v>
      </c>
      <c r="Q109" t="str">
        <f>VLOOKUP(E109,Sales_Reps!$A:$E,3,FALSE)</f>
        <v>West</v>
      </c>
      <c r="R109" t="str">
        <f>VLOOKUP(E109,Sales_Reps!$A:$E,2,FALSE)</f>
        <v>Ashok Reddy</v>
      </c>
      <c r="S109">
        <f t="shared" si="1"/>
        <v>0.39508196721311473</v>
      </c>
    </row>
    <row r="110" spans="1:19" x14ac:dyDescent="0.3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  <c r="L110" t="str">
        <f>VLOOKUP(D110,Products!$A:$F,3,FALSE)</f>
        <v>Grocery</v>
      </c>
      <c r="M110" t="b">
        <f>VLOOKUP(D110,Products!$A:$F,6,FALSE)</f>
        <v>1</v>
      </c>
      <c r="N110">
        <f>VLOOKUP(D110,Products!$A:$F,4,FALSE)</f>
        <v>2027</v>
      </c>
      <c r="O110" t="str">
        <f>VLOOKUP(C110,Customers!$A:$F,5,FALSE)</f>
        <v>Retail</v>
      </c>
      <c r="P110">
        <f>VLOOKUP(C110,Customers!$A:$F,3,FALSE)</f>
        <v>43</v>
      </c>
      <c r="Q110" t="str">
        <f>VLOOKUP(E110,Sales_Reps!$A:$E,3,FALSE)</f>
        <v>South</v>
      </c>
      <c r="R110" t="str">
        <f>VLOOKUP(E110,Sales_Reps!$A:$E,2,FALSE)</f>
        <v>Sanjay Kapoor</v>
      </c>
      <c r="S110">
        <f t="shared" si="1"/>
        <v>0.50196560196560192</v>
      </c>
    </row>
    <row r="111" spans="1:19" x14ac:dyDescent="0.3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  <c r="L111" t="str">
        <f>VLOOKUP(D111,Products!$A:$F,3,FALSE)</f>
        <v>Home</v>
      </c>
      <c r="M111" t="b">
        <f>VLOOKUP(D111,Products!$A:$F,6,FALSE)</f>
        <v>1</v>
      </c>
      <c r="N111">
        <f>VLOOKUP(D111,Products!$A:$F,4,FALSE)</f>
        <v>329</v>
      </c>
      <c r="O111" t="str">
        <f>VLOOKUP(C111,Customers!$A:$F,5,FALSE)</f>
        <v>Corporate</v>
      </c>
      <c r="P111">
        <f>VLOOKUP(C111,Customers!$A:$F,3,FALSE)</f>
        <v>56</v>
      </c>
      <c r="Q111" t="str">
        <f>VLOOKUP(E111,Sales_Reps!$A:$E,3,FALSE)</f>
        <v>West</v>
      </c>
      <c r="R111" t="str">
        <f>VLOOKUP(E111,Sales_Reps!$A:$E,2,FALSE)</f>
        <v>Arun Iyer</v>
      </c>
      <c r="S111">
        <f t="shared" si="1"/>
        <v>0.50151515151515147</v>
      </c>
    </row>
    <row r="112" spans="1:19" x14ac:dyDescent="0.3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  <c r="L112" t="str">
        <f>VLOOKUP(D112,Products!$A:$F,3,FALSE)</f>
        <v>Home</v>
      </c>
      <c r="M112" t="b">
        <f>VLOOKUP(D112,Products!$A:$F,6,FALSE)</f>
        <v>1</v>
      </c>
      <c r="N112">
        <f>VLOOKUP(D112,Products!$A:$F,4,FALSE)</f>
        <v>519</v>
      </c>
      <c r="O112" t="str">
        <f>VLOOKUP(C112,Customers!$A:$F,5,FALSE)</f>
        <v>SMB</v>
      </c>
      <c r="P112">
        <f>VLOOKUP(C112,Customers!$A:$F,3,FALSE)</f>
        <v>44</v>
      </c>
      <c r="Q112" t="str">
        <f>VLOOKUP(E112,Sales_Reps!$A:$E,3,FALSE)</f>
        <v>West</v>
      </c>
      <c r="R112" t="str">
        <f>VLOOKUP(E112,Sales_Reps!$A:$E,2,FALSE)</f>
        <v>Rekha Chopra</v>
      </c>
      <c r="S112">
        <f t="shared" si="1"/>
        <v>0.51944444444444449</v>
      </c>
    </row>
    <row r="113" spans="1:19" x14ac:dyDescent="0.3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  <c r="L113" t="str">
        <f>VLOOKUP(D113,Products!$A:$F,3,FALSE)</f>
        <v>Apparel</v>
      </c>
      <c r="M113" t="b">
        <f>VLOOKUP(D113,Products!$A:$F,6,FALSE)</f>
        <v>1</v>
      </c>
      <c r="N113">
        <f>VLOOKUP(D113,Products!$A:$F,4,FALSE)</f>
        <v>391</v>
      </c>
      <c r="O113" t="str">
        <f>VLOOKUP(C113,Customers!$A:$F,5,FALSE)</f>
        <v>SMB</v>
      </c>
      <c r="P113">
        <f>VLOOKUP(C113,Customers!$A:$F,3,FALSE)</f>
        <v>53</v>
      </c>
      <c r="Q113" t="str">
        <f>VLOOKUP(E113,Sales_Reps!$A:$E,3,FALSE)</f>
        <v>North</v>
      </c>
      <c r="R113" t="str">
        <f>VLOOKUP(E113,Sales_Reps!$A:$E,2,FALSE)</f>
        <v>Neha Desai</v>
      </c>
      <c r="S113">
        <f t="shared" si="1"/>
        <v>0.52317073170731709</v>
      </c>
    </row>
    <row r="114" spans="1:19" x14ac:dyDescent="0.3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  <c r="L114" t="str">
        <f>VLOOKUP(D114,Products!$A:$F,3,FALSE)</f>
        <v>Beauty</v>
      </c>
      <c r="M114" t="b">
        <f>VLOOKUP(D114,Products!$A:$F,6,FALSE)</f>
        <v>1</v>
      </c>
      <c r="N114">
        <f>VLOOKUP(D114,Products!$A:$F,4,FALSE)</f>
        <v>675</v>
      </c>
      <c r="O114" t="str">
        <f>VLOOKUP(C114,Customers!$A:$F,5,FALSE)</f>
        <v>SMB</v>
      </c>
      <c r="P114">
        <f>VLOOKUP(C114,Customers!$A:$F,3,FALSE)</f>
        <v>27</v>
      </c>
      <c r="Q114" t="str">
        <f>VLOOKUP(E114,Sales_Reps!$A:$E,3,FALSE)</f>
        <v>West</v>
      </c>
      <c r="R114" t="str">
        <f>VLOOKUP(E114,Sales_Reps!$A:$E,2,FALSE)</f>
        <v>Ramesh Bhatt</v>
      </c>
      <c r="S114">
        <f t="shared" si="1"/>
        <v>0.296875</v>
      </c>
    </row>
    <row r="115" spans="1:19" x14ac:dyDescent="0.3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  <c r="L115" t="str">
        <f>VLOOKUP(D115,Products!$A:$F,3,FALSE)</f>
        <v>Electronics</v>
      </c>
      <c r="M115" t="b">
        <f>VLOOKUP(D115,Products!$A:$F,6,FALSE)</f>
        <v>1</v>
      </c>
      <c r="N115">
        <f>VLOOKUP(D115,Products!$A:$F,4,FALSE)</f>
        <v>1052</v>
      </c>
      <c r="O115" t="str">
        <f>VLOOKUP(C115,Customers!$A:$F,5,FALSE)</f>
        <v>Corporate</v>
      </c>
      <c r="P115">
        <f>VLOOKUP(C115,Customers!$A:$F,3,FALSE)</f>
        <v>27</v>
      </c>
      <c r="Q115" t="str">
        <f>VLOOKUP(E115,Sales_Reps!$A:$E,3,FALSE)</f>
        <v>South</v>
      </c>
      <c r="R115" t="str">
        <f>VLOOKUP(E115,Sales_Reps!$A:$E,2,FALSE)</f>
        <v>Ritu Menon</v>
      </c>
      <c r="S115">
        <f t="shared" si="1"/>
        <v>0.5953846153846154</v>
      </c>
    </row>
    <row r="116" spans="1:19" x14ac:dyDescent="0.3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  <c r="L116" t="str">
        <f>VLOOKUP(D116,Products!$A:$F,3,FALSE)</f>
        <v>Home</v>
      </c>
      <c r="M116" t="b">
        <f>VLOOKUP(D116,Products!$A:$F,6,FALSE)</f>
        <v>1</v>
      </c>
      <c r="N116">
        <f>VLOOKUP(D116,Products!$A:$F,4,FALSE)</f>
        <v>1143</v>
      </c>
      <c r="O116" t="str">
        <f>VLOOKUP(C116,Customers!$A:$F,5,FALSE)</f>
        <v>Retail</v>
      </c>
      <c r="P116">
        <f>VLOOKUP(C116,Customers!$A:$F,3,FALSE)</f>
        <v>63</v>
      </c>
      <c r="Q116" t="str">
        <f>VLOOKUP(E116,Sales_Reps!$A:$E,3,FALSE)</f>
        <v>West</v>
      </c>
      <c r="R116" t="str">
        <f>VLOOKUP(E116,Sales_Reps!$A:$E,2,FALSE)</f>
        <v>Arun Iyer</v>
      </c>
      <c r="S116">
        <f t="shared" si="1"/>
        <v>0.43694581280788175</v>
      </c>
    </row>
    <row r="117" spans="1:19" x14ac:dyDescent="0.3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  <c r="L117" t="str">
        <f>VLOOKUP(D117,Products!$A:$F,3,FALSE)</f>
        <v>Beauty</v>
      </c>
      <c r="M117" t="b">
        <f>VLOOKUP(D117,Products!$A:$F,6,FALSE)</f>
        <v>1</v>
      </c>
      <c r="N117">
        <f>VLOOKUP(D117,Products!$A:$F,4,FALSE)</f>
        <v>1219</v>
      </c>
      <c r="O117" t="str">
        <f>VLOOKUP(C117,Customers!$A:$F,5,FALSE)</f>
        <v>Retail</v>
      </c>
      <c r="P117">
        <f>VLOOKUP(C117,Customers!$A:$F,3,FALSE)</f>
        <v>23</v>
      </c>
      <c r="Q117" t="str">
        <f>VLOOKUP(E117,Sales_Reps!$A:$E,3,FALSE)</f>
        <v>West</v>
      </c>
      <c r="R117" t="str">
        <f>VLOOKUP(E117,Sales_Reps!$A:$E,2,FALSE)</f>
        <v>Preeti Shah</v>
      </c>
      <c r="S117">
        <f t="shared" si="1"/>
        <v>0.46768558951965067</v>
      </c>
    </row>
    <row r="118" spans="1:19" x14ac:dyDescent="0.3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  <c r="L118" t="str">
        <f>VLOOKUP(D118,Products!$A:$F,3,FALSE)</f>
        <v>Home</v>
      </c>
      <c r="M118" t="b">
        <f>VLOOKUP(D118,Products!$A:$F,6,FALSE)</f>
        <v>1</v>
      </c>
      <c r="N118">
        <f>VLOOKUP(D118,Products!$A:$F,4,FALSE)</f>
        <v>2135</v>
      </c>
      <c r="O118" t="str">
        <f>VLOOKUP(C118,Customers!$A:$F,5,FALSE)</f>
        <v>Retail</v>
      </c>
      <c r="P118">
        <f>VLOOKUP(C118,Customers!$A:$F,3,FALSE)</f>
        <v>44</v>
      </c>
      <c r="Q118" t="str">
        <f>VLOOKUP(E118,Sales_Reps!$A:$E,3,FALSE)</f>
        <v>West</v>
      </c>
      <c r="R118" t="str">
        <f>VLOOKUP(E118,Sales_Reps!$A:$E,2,FALSE)</f>
        <v>Arun Iyer</v>
      </c>
      <c r="S118">
        <f t="shared" si="1"/>
        <v>0.42761394101876676</v>
      </c>
    </row>
    <row r="119" spans="1:19" x14ac:dyDescent="0.3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  <c r="L119" t="str">
        <f>VLOOKUP(D119,Products!$A:$F,3,FALSE)</f>
        <v>Electronics</v>
      </c>
      <c r="M119" t="b">
        <f>VLOOKUP(D119,Products!$A:$F,6,FALSE)</f>
        <v>1</v>
      </c>
      <c r="N119">
        <f>VLOOKUP(D119,Products!$A:$F,4,FALSE)</f>
        <v>128</v>
      </c>
      <c r="O119" t="str">
        <f>VLOOKUP(C119,Customers!$A:$F,5,FALSE)</f>
        <v>SMB</v>
      </c>
      <c r="P119">
        <f>VLOOKUP(C119,Customers!$A:$F,3,FALSE)</f>
        <v>54</v>
      </c>
      <c r="Q119" t="str">
        <f>VLOOKUP(E119,Sales_Reps!$A:$E,3,FALSE)</f>
        <v>South</v>
      </c>
      <c r="R119" t="str">
        <f>VLOOKUP(E119,Sales_Reps!$A:$E,2,FALSE)</f>
        <v>Ritu Menon</v>
      </c>
      <c r="S119">
        <f t="shared" si="1"/>
        <v>0.57333333333333336</v>
      </c>
    </row>
    <row r="120" spans="1:19" x14ac:dyDescent="0.3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  <c r="L120" t="str">
        <f>VLOOKUP(D120,Products!$A:$F,3,FALSE)</f>
        <v>Electronics</v>
      </c>
      <c r="M120" t="b">
        <f>VLOOKUP(D120,Products!$A:$F,6,FALSE)</f>
        <v>1</v>
      </c>
      <c r="N120">
        <f>VLOOKUP(D120,Products!$A:$F,4,FALSE)</f>
        <v>128</v>
      </c>
      <c r="O120" t="str">
        <f>VLOOKUP(C120,Customers!$A:$F,5,FALSE)</f>
        <v>Retail</v>
      </c>
      <c r="P120">
        <f>VLOOKUP(C120,Customers!$A:$F,3,FALSE)</f>
        <v>50</v>
      </c>
      <c r="Q120" t="str">
        <f>VLOOKUP(E120,Sales_Reps!$A:$E,3,FALSE)</f>
        <v>South</v>
      </c>
      <c r="R120" t="str">
        <f>VLOOKUP(E120,Sales_Reps!$A:$E,2,FALSE)</f>
        <v>Pooja Nair</v>
      </c>
      <c r="S120">
        <f t="shared" si="1"/>
        <v>0.57333333333333336</v>
      </c>
    </row>
    <row r="121" spans="1:19" x14ac:dyDescent="0.3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  <c r="L121" t="str">
        <f>VLOOKUP(D121,Products!$A:$F,3,FALSE)</f>
        <v>Beauty</v>
      </c>
      <c r="M121" t="b">
        <f>VLOOKUP(D121,Products!$A:$F,6,FALSE)</f>
        <v>1</v>
      </c>
      <c r="N121">
        <f>VLOOKUP(D121,Products!$A:$F,4,FALSE)</f>
        <v>1728</v>
      </c>
      <c r="O121" t="str">
        <f>VLOOKUP(C121,Customers!$A:$F,5,FALSE)</f>
        <v>SMB</v>
      </c>
      <c r="P121">
        <f>VLOOKUP(C121,Customers!$A:$F,3,FALSE)</f>
        <v>28</v>
      </c>
      <c r="Q121" t="str">
        <f>VLOOKUP(E121,Sales_Reps!$A:$E,3,FALSE)</f>
        <v>North</v>
      </c>
      <c r="R121" t="str">
        <f>VLOOKUP(E121,Sales_Reps!$A:$E,2,FALSE)</f>
        <v>Suresh Menon</v>
      </c>
      <c r="S121">
        <f t="shared" si="1"/>
        <v>0.48417910447761192</v>
      </c>
    </row>
    <row r="122" spans="1:19" x14ac:dyDescent="0.3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  <c r="L122" t="str">
        <f>VLOOKUP(D122,Products!$A:$F,3,FALSE)</f>
        <v>Electronics</v>
      </c>
      <c r="M122" t="b">
        <f>VLOOKUP(D122,Products!$A:$F,6,FALSE)</f>
        <v>1</v>
      </c>
      <c r="N122">
        <f>VLOOKUP(D122,Products!$A:$F,4,FALSE)</f>
        <v>2405</v>
      </c>
      <c r="O122" t="str">
        <f>VLOOKUP(C122,Customers!$A:$F,5,FALSE)</f>
        <v>SMB</v>
      </c>
      <c r="P122">
        <f>VLOOKUP(C122,Customers!$A:$F,3,FALSE)</f>
        <v>46</v>
      </c>
      <c r="Q122" t="str">
        <f>VLOOKUP(E122,Sales_Reps!$A:$E,3,FALSE)</f>
        <v>North</v>
      </c>
      <c r="R122" t="str">
        <f>VLOOKUP(E122,Sales_Reps!$A:$E,2,FALSE)</f>
        <v>Amit Singh</v>
      </c>
      <c r="S122">
        <f t="shared" si="1"/>
        <v>0.54878048780487809</v>
      </c>
    </row>
    <row r="123" spans="1:19" x14ac:dyDescent="0.3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  <c r="L123" t="str">
        <f>VLOOKUP(D123,Products!$A:$F,3,FALSE)</f>
        <v>Apparel</v>
      </c>
      <c r="M123" t="b">
        <f>VLOOKUP(D123,Products!$A:$F,6,FALSE)</f>
        <v>1</v>
      </c>
      <c r="N123">
        <f>VLOOKUP(D123,Products!$A:$F,4,FALSE)</f>
        <v>2509</v>
      </c>
      <c r="O123" t="str">
        <f>VLOOKUP(C123,Customers!$A:$F,5,FALSE)</f>
        <v>Retail</v>
      </c>
      <c r="P123">
        <f>VLOOKUP(C123,Customers!$A:$F,3,FALSE)</f>
        <v>30</v>
      </c>
      <c r="Q123" t="str">
        <f>VLOOKUP(E123,Sales_Reps!$A:$E,3,FALSE)</f>
        <v>North</v>
      </c>
      <c r="R123" t="str">
        <f>VLOOKUP(E123,Sales_Reps!$A:$E,2,FALSE)</f>
        <v>Sunita Malhotra</v>
      </c>
      <c r="S123">
        <f t="shared" si="1"/>
        <v>0.3069060773480663</v>
      </c>
    </row>
    <row r="124" spans="1:19" x14ac:dyDescent="0.3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  <c r="L124" t="str">
        <f>VLOOKUP(D124,Products!$A:$F,3,FALSE)</f>
        <v>Apparel</v>
      </c>
      <c r="M124" t="b">
        <f>VLOOKUP(D124,Products!$A:$F,6,FALSE)</f>
        <v>1</v>
      </c>
      <c r="N124">
        <f>VLOOKUP(D124,Products!$A:$F,4,FALSE)</f>
        <v>2509</v>
      </c>
      <c r="O124" t="str">
        <f>VLOOKUP(C124,Customers!$A:$F,5,FALSE)</f>
        <v>SMB</v>
      </c>
      <c r="P124">
        <f>VLOOKUP(C124,Customers!$A:$F,3,FALSE)</f>
        <v>53</v>
      </c>
      <c r="Q124" t="str">
        <f>VLOOKUP(E124,Sales_Reps!$A:$E,3,FALSE)</f>
        <v>North</v>
      </c>
      <c r="R124" t="str">
        <f>VLOOKUP(E124,Sales_Reps!$A:$E,2,FALSE)</f>
        <v>Vikram Patel</v>
      </c>
      <c r="S124">
        <f t="shared" si="1"/>
        <v>0.3069060773480663</v>
      </c>
    </row>
    <row r="125" spans="1:19" x14ac:dyDescent="0.3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  <c r="L125" t="str">
        <f>VLOOKUP(D125,Products!$A:$F,3,FALSE)</f>
        <v>Sports</v>
      </c>
      <c r="M125" t="b">
        <f>VLOOKUP(D125,Products!$A:$F,6,FALSE)</f>
        <v>1</v>
      </c>
      <c r="N125">
        <f>VLOOKUP(D125,Products!$A:$F,4,FALSE)</f>
        <v>705</v>
      </c>
      <c r="O125" t="str">
        <f>VLOOKUP(C125,Customers!$A:$F,5,FALSE)</f>
        <v>SMB</v>
      </c>
      <c r="P125">
        <f>VLOOKUP(C125,Customers!$A:$F,3,FALSE)</f>
        <v>51</v>
      </c>
      <c r="Q125" t="str">
        <f>VLOOKUP(E125,Sales_Reps!$A:$E,3,FALSE)</f>
        <v>North</v>
      </c>
      <c r="R125" t="str">
        <f>VLOOKUP(E125,Sales_Reps!$A:$E,2,FALSE)</f>
        <v>Kavita Patel</v>
      </c>
      <c r="S125">
        <f t="shared" si="1"/>
        <v>0.265625</v>
      </c>
    </row>
    <row r="126" spans="1:19" x14ac:dyDescent="0.3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  <c r="L126" t="str">
        <f>VLOOKUP(D126,Products!$A:$F,3,FALSE)</f>
        <v>Beauty</v>
      </c>
      <c r="M126" t="b">
        <f>VLOOKUP(D126,Products!$A:$F,6,FALSE)</f>
        <v>1</v>
      </c>
      <c r="N126">
        <f>VLOOKUP(D126,Products!$A:$F,4,FALSE)</f>
        <v>1222</v>
      </c>
      <c r="O126" t="str">
        <f>VLOOKUP(C126,Customers!$A:$F,5,FALSE)</f>
        <v>Retail</v>
      </c>
      <c r="P126">
        <f>VLOOKUP(C126,Customers!$A:$F,3,FALSE)</f>
        <v>59</v>
      </c>
      <c r="Q126" t="str">
        <f>VLOOKUP(E126,Sales_Reps!$A:$E,3,FALSE)</f>
        <v>West</v>
      </c>
      <c r="R126" t="str">
        <f>VLOOKUP(E126,Sales_Reps!$A:$E,2,FALSE)</f>
        <v>Ashok Reddy</v>
      </c>
      <c r="S126">
        <f t="shared" si="1"/>
        <v>0.2593939393939394</v>
      </c>
    </row>
    <row r="127" spans="1:19" x14ac:dyDescent="0.3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  <c r="L127" t="str">
        <f>VLOOKUP(D127,Products!$A:$F,3,FALSE)</f>
        <v>Beauty</v>
      </c>
      <c r="M127" t="b">
        <f>VLOOKUP(D127,Products!$A:$F,6,FALSE)</f>
        <v>1</v>
      </c>
      <c r="N127">
        <f>VLOOKUP(D127,Products!$A:$F,4,FALSE)</f>
        <v>675</v>
      </c>
      <c r="O127" t="str">
        <f>VLOOKUP(C127,Customers!$A:$F,5,FALSE)</f>
        <v>Corporate</v>
      </c>
      <c r="P127">
        <f>VLOOKUP(C127,Customers!$A:$F,3,FALSE)</f>
        <v>24</v>
      </c>
      <c r="Q127" t="str">
        <f>VLOOKUP(E127,Sales_Reps!$A:$E,3,FALSE)</f>
        <v>South</v>
      </c>
      <c r="R127" t="str">
        <f>VLOOKUP(E127,Sales_Reps!$A:$E,2,FALSE)</f>
        <v>Divya Rao</v>
      </c>
      <c r="S127">
        <f t="shared" si="1"/>
        <v>0.296875</v>
      </c>
    </row>
    <row r="128" spans="1:19" x14ac:dyDescent="0.3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  <c r="L128" t="str">
        <f>VLOOKUP(D128,Products!$A:$F,3,FALSE)</f>
        <v>Electronics</v>
      </c>
      <c r="M128" t="b">
        <f>VLOOKUP(D128,Products!$A:$F,6,FALSE)</f>
        <v>1</v>
      </c>
      <c r="N128">
        <f>VLOOKUP(D128,Products!$A:$F,4,FALSE)</f>
        <v>2865</v>
      </c>
      <c r="O128" t="str">
        <f>VLOOKUP(C128,Customers!$A:$F,5,FALSE)</f>
        <v>SMB</v>
      </c>
      <c r="P128">
        <f>VLOOKUP(C128,Customers!$A:$F,3,FALSE)</f>
        <v>53</v>
      </c>
      <c r="Q128" t="str">
        <f>VLOOKUP(E128,Sales_Reps!$A:$E,3,FALSE)</f>
        <v>North</v>
      </c>
      <c r="R128" t="str">
        <f>VLOOKUP(E128,Sales_Reps!$A:$E,2,FALSE)</f>
        <v>Amit Singh</v>
      </c>
      <c r="S128">
        <f t="shared" si="1"/>
        <v>0.27833753148614609</v>
      </c>
    </row>
    <row r="129" spans="1:19" x14ac:dyDescent="0.3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  <c r="L129" t="str">
        <f>VLOOKUP(D129,Products!$A:$F,3,FALSE)</f>
        <v>Grocery</v>
      </c>
      <c r="M129" t="b">
        <f>VLOOKUP(D129,Products!$A:$F,6,FALSE)</f>
        <v>1</v>
      </c>
      <c r="N129">
        <f>VLOOKUP(D129,Products!$A:$F,4,FALSE)</f>
        <v>434</v>
      </c>
      <c r="O129" t="str">
        <f>VLOOKUP(C129,Customers!$A:$F,5,FALSE)</f>
        <v>Retail</v>
      </c>
      <c r="P129">
        <f>VLOOKUP(C129,Customers!$A:$F,3,FALSE)</f>
        <v>29</v>
      </c>
      <c r="Q129" t="str">
        <f>VLOOKUP(E129,Sales_Reps!$A:$E,3,FALSE)</f>
        <v>North</v>
      </c>
      <c r="R129" t="str">
        <f>VLOOKUP(E129,Sales_Reps!$A:$E,2,FALSE)</f>
        <v>Vikram Patel</v>
      </c>
      <c r="S129">
        <f t="shared" si="1"/>
        <v>0.5525773195876289</v>
      </c>
    </row>
    <row r="130" spans="1:19" x14ac:dyDescent="0.3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  <c r="L130" t="str">
        <f>VLOOKUP(D130,Products!$A:$F,3,FALSE)</f>
        <v>Home</v>
      </c>
      <c r="M130" t="b">
        <f>VLOOKUP(D130,Products!$A:$F,6,FALSE)</f>
        <v>1</v>
      </c>
      <c r="N130">
        <f>VLOOKUP(D130,Products!$A:$F,4,FALSE)</f>
        <v>1143</v>
      </c>
      <c r="O130" t="str">
        <f>VLOOKUP(C130,Customers!$A:$F,5,FALSE)</f>
        <v>Retail</v>
      </c>
      <c r="P130">
        <f>VLOOKUP(C130,Customers!$A:$F,3,FALSE)</f>
        <v>61</v>
      </c>
      <c r="Q130" t="str">
        <f>VLOOKUP(E130,Sales_Reps!$A:$E,3,FALSE)</f>
        <v>North</v>
      </c>
      <c r="R130" t="str">
        <f>VLOOKUP(E130,Sales_Reps!$A:$E,2,FALSE)</f>
        <v>Rajesh Malhotra</v>
      </c>
      <c r="S130">
        <f t="shared" si="1"/>
        <v>0.43694581280788175</v>
      </c>
    </row>
    <row r="131" spans="1:19" x14ac:dyDescent="0.3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  <c r="L131" t="str">
        <f>VLOOKUP(D131,Products!$A:$F,3,FALSE)</f>
        <v>Grocery</v>
      </c>
      <c r="M131" t="b">
        <f>VLOOKUP(D131,Products!$A:$F,6,FALSE)</f>
        <v>1</v>
      </c>
      <c r="N131">
        <f>VLOOKUP(D131,Products!$A:$F,4,FALSE)</f>
        <v>1203</v>
      </c>
      <c r="O131" t="str">
        <f>VLOOKUP(C131,Customers!$A:$F,5,FALSE)</f>
        <v>Retail</v>
      </c>
      <c r="P131">
        <f>VLOOKUP(C131,Customers!$A:$F,3,FALSE)</f>
        <v>22</v>
      </c>
      <c r="Q131" t="str">
        <f>VLOOKUP(E131,Sales_Reps!$A:$E,3,FALSE)</f>
        <v>East</v>
      </c>
      <c r="R131" t="str">
        <f>VLOOKUP(E131,Sales_Reps!$A:$E,2,FALSE)</f>
        <v>Gaurav Desai</v>
      </c>
      <c r="S131">
        <f t="shared" ref="S131:S194" si="2">IFERROR((G131-N131)/G131,"")</f>
        <v>0.47004405286343615</v>
      </c>
    </row>
    <row r="132" spans="1:19" x14ac:dyDescent="0.3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  <c r="L132" t="str">
        <f>VLOOKUP(D132,Products!$A:$F,3,FALSE)</f>
        <v>Beauty</v>
      </c>
      <c r="M132" t="b">
        <f>VLOOKUP(D132,Products!$A:$F,6,FALSE)</f>
        <v>1</v>
      </c>
      <c r="N132">
        <f>VLOOKUP(D132,Products!$A:$F,4,FALSE)</f>
        <v>2768</v>
      </c>
      <c r="O132" t="str">
        <f>VLOOKUP(C132,Customers!$A:$F,5,FALSE)</f>
        <v>Corporate</v>
      </c>
      <c r="P132">
        <f>VLOOKUP(C132,Customers!$A:$F,3,FALSE)</f>
        <v>32</v>
      </c>
      <c r="Q132" t="str">
        <f>VLOOKUP(E132,Sales_Reps!$A:$E,3,FALSE)</f>
        <v>North</v>
      </c>
      <c r="R132" t="str">
        <f>VLOOKUP(E132,Sales_Reps!$A:$E,2,FALSE)</f>
        <v>Amit Singh</v>
      </c>
      <c r="S132">
        <f t="shared" si="2"/>
        <v>0.43278688524590164</v>
      </c>
    </row>
    <row r="133" spans="1:19" x14ac:dyDescent="0.3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  <c r="L133" t="str">
        <f>VLOOKUP(D133,Products!$A:$F,3,FALSE)</f>
        <v>Electronics</v>
      </c>
      <c r="M133" t="b">
        <f>VLOOKUP(D133,Products!$A:$F,6,FALSE)</f>
        <v>1</v>
      </c>
      <c r="N133">
        <f>VLOOKUP(D133,Products!$A:$F,4,FALSE)</f>
        <v>1559</v>
      </c>
      <c r="O133" t="str">
        <f>VLOOKUP(C133,Customers!$A:$F,5,FALSE)</f>
        <v>Corporate</v>
      </c>
      <c r="P133">
        <f>VLOOKUP(C133,Customers!$A:$F,3,FALSE)</f>
        <v>42</v>
      </c>
      <c r="Q133" t="str">
        <f>VLOOKUP(E133,Sales_Reps!$A:$E,3,FALSE)</f>
        <v>South</v>
      </c>
      <c r="R133" t="str">
        <f>VLOOKUP(E133,Sales_Reps!$A:$E,2,FALSE)</f>
        <v>Anil Verma</v>
      </c>
      <c r="S133">
        <f t="shared" si="2"/>
        <v>0.59715762273901807</v>
      </c>
    </row>
    <row r="134" spans="1:19" x14ac:dyDescent="0.3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  <c r="L134" t="str">
        <f>VLOOKUP(D134,Products!$A:$F,3,FALSE)</f>
        <v>Beauty</v>
      </c>
      <c r="M134" t="b">
        <f>VLOOKUP(D134,Products!$A:$F,6,FALSE)</f>
        <v>1</v>
      </c>
      <c r="N134">
        <f>VLOOKUP(D134,Products!$A:$F,4,FALSE)</f>
        <v>1219</v>
      </c>
      <c r="O134" t="str">
        <f>VLOOKUP(C134,Customers!$A:$F,5,FALSE)</f>
        <v>Retail</v>
      </c>
      <c r="P134">
        <f>VLOOKUP(C134,Customers!$A:$F,3,FALSE)</f>
        <v>22</v>
      </c>
      <c r="Q134" t="str">
        <f>VLOOKUP(E134,Sales_Reps!$A:$E,3,FALSE)</f>
        <v>North</v>
      </c>
      <c r="R134" t="str">
        <f>VLOOKUP(E134,Sales_Reps!$A:$E,2,FALSE)</f>
        <v>Sunita Malhotra</v>
      </c>
      <c r="S134">
        <f t="shared" si="2"/>
        <v>0.46768558951965067</v>
      </c>
    </row>
    <row r="135" spans="1:19" x14ac:dyDescent="0.3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  <c r="L135" t="str">
        <f>VLOOKUP(D135,Products!$A:$F,3,FALSE)</f>
        <v>Grocery</v>
      </c>
      <c r="M135" t="b">
        <f>VLOOKUP(D135,Products!$A:$F,6,FALSE)</f>
        <v>1</v>
      </c>
      <c r="N135">
        <f>VLOOKUP(D135,Products!$A:$F,4,FALSE)</f>
        <v>1182</v>
      </c>
      <c r="O135" t="str">
        <f>VLOOKUP(C135,Customers!$A:$F,5,FALSE)</f>
        <v>Retail</v>
      </c>
      <c r="P135">
        <f>VLOOKUP(C135,Customers!$A:$F,3,FALSE)</f>
        <v>44</v>
      </c>
      <c r="Q135" t="str">
        <f>VLOOKUP(E135,Sales_Reps!$A:$E,3,FALSE)</f>
        <v>East</v>
      </c>
      <c r="R135" t="str">
        <f>VLOOKUP(E135,Sales_Reps!$A:$E,2,FALSE)</f>
        <v>Meera Iyer</v>
      </c>
      <c r="S135">
        <f t="shared" si="2"/>
        <v>0.50336134453781511</v>
      </c>
    </row>
    <row r="136" spans="1:19" x14ac:dyDescent="0.3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  <c r="L136" t="str">
        <f>VLOOKUP(D136,Products!$A:$F,3,FALSE)</f>
        <v>Grocery</v>
      </c>
      <c r="M136" t="b">
        <f>VLOOKUP(D136,Products!$A:$F,6,FALSE)</f>
        <v>1</v>
      </c>
      <c r="N136">
        <f>VLOOKUP(D136,Products!$A:$F,4,FALSE)</f>
        <v>1010</v>
      </c>
      <c r="O136" t="str">
        <f>VLOOKUP(C136,Customers!$A:$F,5,FALSE)</f>
        <v>SMB</v>
      </c>
      <c r="P136">
        <f>VLOOKUP(C136,Customers!$A:$F,3,FALSE)</f>
        <v>64</v>
      </c>
      <c r="Q136" t="str">
        <f>VLOOKUP(E136,Sales_Reps!$A:$E,3,FALSE)</f>
        <v>South</v>
      </c>
      <c r="R136" t="str">
        <f>VLOOKUP(E136,Sales_Reps!$A:$E,2,FALSE)</f>
        <v>Sanjay Kapoor</v>
      </c>
      <c r="S136">
        <f t="shared" si="2"/>
        <v>0.54298642533936647</v>
      </c>
    </row>
    <row r="137" spans="1:19" x14ac:dyDescent="0.3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  <c r="L137" t="str">
        <f>VLOOKUP(D137,Products!$A:$F,3,FALSE)</f>
        <v>Electronics</v>
      </c>
      <c r="M137" t="b">
        <f>VLOOKUP(D137,Products!$A:$F,6,FALSE)</f>
        <v>1</v>
      </c>
      <c r="N137">
        <f>VLOOKUP(D137,Products!$A:$F,4,FALSE)</f>
        <v>2405</v>
      </c>
      <c r="O137" t="str">
        <f>VLOOKUP(C137,Customers!$A:$F,5,FALSE)</f>
        <v>SMB</v>
      </c>
      <c r="P137">
        <f>VLOOKUP(C137,Customers!$A:$F,3,FALSE)</f>
        <v>29</v>
      </c>
      <c r="Q137" t="str">
        <f>VLOOKUP(E137,Sales_Reps!$A:$E,3,FALSE)</f>
        <v>East</v>
      </c>
      <c r="R137" t="str">
        <f>VLOOKUP(E137,Sales_Reps!$A:$E,2,FALSE)</f>
        <v>Nisha Menon</v>
      </c>
      <c r="S137">
        <f t="shared" si="2"/>
        <v>0.54878048780487809</v>
      </c>
    </row>
    <row r="138" spans="1:19" x14ac:dyDescent="0.3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  <c r="L138" t="str">
        <f>VLOOKUP(D138,Products!$A:$F,3,FALSE)</f>
        <v>Electronics</v>
      </c>
      <c r="M138" t="b">
        <f>VLOOKUP(D138,Products!$A:$F,6,FALSE)</f>
        <v>1</v>
      </c>
      <c r="N138">
        <f>VLOOKUP(D138,Products!$A:$F,4,FALSE)</f>
        <v>2865</v>
      </c>
      <c r="O138" t="str">
        <f>VLOOKUP(C138,Customers!$A:$F,5,FALSE)</f>
        <v>SMB</v>
      </c>
      <c r="P138">
        <f>VLOOKUP(C138,Customers!$A:$F,3,FALSE)</f>
        <v>64</v>
      </c>
      <c r="Q138" t="str">
        <f>VLOOKUP(E138,Sales_Reps!$A:$E,3,FALSE)</f>
        <v>East</v>
      </c>
      <c r="R138" t="str">
        <f>VLOOKUP(E138,Sales_Reps!$A:$E,2,FALSE)</f>
        <v>Nisha Menon</v>
      </c>
      <c r="S138">
        <f t="shared" si="2"/>
        <v>0.27833753148614609</v>
      </c>
    </row>
    <row r="139" spans="1:19" x14ac:dyDescent="0.3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  <c r="L139" t="str">
        <f>VLOOKUP(D139,Products!$A:$F,3,FALSE)</f>
        <v>Apparel</v>
      </c>
      <c r="M139" t="b">
        <f>VLOOKUP(D139,Products!$A:$F,6,FALSE)</f>
        <v>1</v>
      </c>
      <c r="N139">
        <f>VLOOKUP(D139,Products!$A:$F,4,FALSE)</f>
        <v>1886</v>
      </c>
      <c r="O139" t="str">
        <f>VLOOKUP(C139,Customers!$A:$F,5,FALSE)</f>
        <v>Corporate</v>
      </c>
      <c r="P139">
        <f>VLOOKUP(C139,Customers!$A:$F,3,FALSE)</f>
        <v>48</v>
      </c>
      <c r="Q139" t="str">
        <f>VLOOKUP(E139,Sales_Reps!$A:$E,3,FALSE)</f>
        <v>East</v>
      </c>
      <c r="R139" t="str">
        <f>VLOOKUP(E139,Sales_Reps!$A:$E,2,FALSE)</f>
        <v>Meera Iyer</v>
      </c>
      <c r="S139">
        <f t="shared" si="2"/>
        <v>0.4031645569620253</v>
      </c>
    </row>
    <row r="140" spans="1:19" x14ac:dyDescent="0.3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  <c r="L140" t="str">
        <f>VLOOKUP(D140,Products!$A:$F,3,FALSE)</f>
        <v>Sports</v>
      </c>
      <c r="M140" t="b">
        <f>VLOOKUP(D140,Products!$A:$F,6,FALSE)</f>
        <v>1</v>
      </c>
      <c r="N140">
        <f>VLOOKUP(D140,Products!$A:$F,4,FALSE)</f>
        <v>147</v>
      </c>
      <c r="O140" t="str">
        <f>VLOOKUP(C140,Customers!$A:$F,5,FALSE)</f>
        <v>Retail</v>
      </c>
      <c r="P140">
        <f>VLOOKUP(C140,Customers!$A:$F,3,FALSE)</f>
        <v>55</v>
      </c>
      <c r="Q140" t="str">
        <f>VLOOKUP(E140,Sales_Reps!$A:$E,3,FALSE)</f>
        <v>South</v>
      </c>
      <c r="R140" t="str">
        <f>VLOOKUP(E140,Sales_Reps!$A:$E,2,FALSE)</f>
        <v>Manoj Patel</v>
      </c>
      <c r="S140">
        <f t="shared" si="2"/>
        <v>0.22631578947368422</v>
      </c>
    </row>
    <row r="141" spans="1:19" x14ac:dyDescent="0.3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  <c r="L141" t="str">
        <f>VLOOKUP(D141,Products!$A:$F,3,FALSE)</f>
        <v>Grocery</v>
      </c>
      <c r="M141" t="b">
        <f>VLOOKUP(D141,Products!$A:$F,6,FALSE)</f>
        <v>1</v>
      </c>
      <c r="N141">
        <f>VLOOKUP(D141,Products!$A:$F,4,FALSE)</f>
        <v>1435</v>
      </c>
      <c r="O141" t="str">
        <f>VLOOKUP(C141,Customers!$A:$F,5,FALSE)</f>
        <v>Retail</v>
      </c>
      <c r="P141">
        <f>VLOOKUP(C141,Customers!$A:$F,3,FALSE)</f>
        <v>31</v>
      </c>
      <c r="Q141" t="str">
        <f>VLOOKUP(E141,Sales_Reps!$A:$E,3,FALSE)</f>
        <v>North</v>
      </c>
      <c r="R141" t="str">
        <f>VLOOKUP(E141,Sales_Reps!$A:$E,2,FALSE)</f>
        <v>Suresh Menon</v>
      </c>
      <c r="S141">
        <f t="shared" si="2"/>
        <v>0.48007246376811596</v>
      </c>
    </row>
    <row r="142" spans="1:19" x14ac:dyDescent="0.3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  <c r="L142" t="str">
        <f>VLOOKUP(D142,Products!$A:$F,3,FALSE)</f>
        <v>Grocery</v>
      </c>
      <c r="M142" t="b">
        <f>VLOOKUP(D142,Products!$A:$F,6,FALSE)</f>
        <v>1</v>
      </c>
      <c r="N142">
        <f>VLOOKUP(D142,Products!$A:$F,4,FALSE)</f>
        <v>1412</v>
      </c>
      <c r="O142" t="str">
        <f>VLOOKUP(C142,Customers!$A:$F,5,FALSE)</f>
        <v>Retail</v>
      </c>
      <c r="P142">
        <f>VLOOKUP(C142,Customers!$A:$F,3,FALSE)</f>
        <v>42</v>
      </c>
      <c r="Q142" t="str">
        <f>VLOOKUP(E142,Sales_Reps!$A:$E,3,FALSE)</f>
        <v>East</v>
      </c>
      <c r="R142" t="str">
        <f>VLOOKUP(E142,Sales_Reps!$A:$E,2,FALSE)</f>
        <v>Prakash Shah</v>
      </c>
      <c r="S142">
        <f t="shared" si="2"/>
        <v>0.37797356828193834</v>
      </c>
    </row>
    <row r="143" spans="1:19" x14ac:dyDescent="0.3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  <c r="L143" t="str">
        <f>VLOOKUP(D143,Products!$A:$F,3,FALSE)</f>
        <v>Sports</v>
      </c>
      <c r="M143" t="b">
        <f>VLOOKUP(D143,Products!$A:$F,6,FALSE)</f>
        <v>1</v>
      </c>
      <c r="N143">
        <f>VLOOKUP(D143,Products!$A:$F,4,FALSE)</f>
        <v>2265</v>
      </c>
      <c r="O143" t="str">
        <f>VLOOKUP(C143,Customers!$A:$F,5,FALSE)</f>
        <v>Retail</v>
      </c>
      <c r="P143">
        <f>VLOOKUP(C143,Customers!$A:$F,3,FALSE)</f>
        <v>32</v>
      </c>
      <c r="Q143" t="str">
        <f>VLOOKUP(E143,Sales_Reps!$A:$E,3,FALSE)</f>
        <v>North</v>
      </c>
      <c r="R143" t="str">
        <f>VLOOKUP(E143,Sales_Reps!$A:$E,2,FALSE)</f>
        <v>Rajesh Malhotra</v>
      </c>
      <c r="S143">
        <f t="shared" si="2"/>
        <v>0.58133086876155271</v>
      </c>
    </row>
    <row r="144" spans="1:19" x14ac:dyDescent="0.3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  <c r="L144" t="str">
        <f>VLOOKUP(D144,Products!$A:$F,3,FALSE)</f>
        <v>Grocery</v>
      </c>
      <c r="M144" t="b">
        <f>VLOOKUP(D144,Products!$A:$F,6,FALSE)</f>
        <v>1</v>
      </c>
      <c r="N144">
        <f>VLOOKUP(D144,Products!$A:$F,4,FALSE)</f>
        <v>1203</v>
      </c>
      <c r="O144" t="str">
        <f>VLOOKUP(C144,Customers!$A:$F,5,FALSE)</f>
        <v>Corporate</v>
      </c>
      <c r="P144">
        <f>VLOOKUP(C144,Customers!$A:$F,3,FALSE)</f>
        <v>31</v>
      </c>
      <c r="Q144" t="str">
        <f>VLOOKUP(E144,Sales_Reps!$A:$E,3,FALSE)</f>
        <v>South</v>
      </c>
      <c r="R144" t="str">
        <f>VLOOKUP(E144,Sales_Reps!$A:$E,2,FALSE)</f>
        <v>Manoj Patel</v>
      </c>
      <c r="S144">
        <f t="shared" si="2"/>
        <v>0.47004405286343615</v>
      </c>
    </row>
    <row r="145" spans="1:19" x14ac:dyDescent="0.3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  <c r="L145" t="str">
        <f>VLOOKUP(D145,Products!$A:$F,3,FALSE)</f>
        <v>Apparel</v>
      </c>
      <c r="M145" t="b">
        <f>VLOOKUP(D145,Products!$A:$F,6,FALSE)</f>
        <v>1</v>
      </c>
      <c r="N145">
        <f>VLOOKUP(D145,Products!$A:$F,4,FALSE)</f>
        <v>1886</v>
      </c>
      <c r="O145" t="str">
        <f>VLOOKUP(C145,Customers!$A:$F,5,FALSE)</f>
        <v>SMB</v>
      </c>
      <c r="P145">
        <f>VLOOKUP(C145,Customers!$A:$F,3,FALSE)</f>
        <v>27</v>
      </c>
      <c r="Q145" t="str">
        <f>VLOOKUP(E145,Sales_Reps!$A:$E,3,FALSE)</f>
        <v>North</v>
      </c>
      <c r="R145" t="str">
        <f>VLOOKUP(E145,Sales_Reps!$A:$E,2,FALSE)</f>
        <v>Rajesh Malhotra</v>
      </c>
      <c r="S145">
        <f t="shared" si="2"/>
        <v>0.4031645569620253</v>
      </c>
    </row>
    <row r="146" spans="1:19" x14ac:dyDescent="0.3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  <c r="L146" t="str">
        <f>VLOOKUP(D146,Products!$A:$F,3,FALSE)</f>
        <v>Grocery</v>
      </c>
      <c r="M146" t="b">
        <f>VLOOKUP(D146,Products!$A:$F,6,FALSE)</f>
        <v>1</v>
      </c>
      <c r="N146">
        <f>VLOOKUP(D146,Products!$A:$F,4,FALSE)</f>
        <v>2911</v>
      </c>
      <c r="O146" t="str">
        <f>VLOOKUP(C146,Customers!$A:$F,5,FALSE)</f>
        <v>SMB</v>
      </c>
      <c r="P146">
        <f>VLOOKUP(C146,Customers!$A:$F,3,FALSE)</f>
        <v>29</v>
      </c>
      <c r="Q146" t="str">
        <f>VLOOKUP(E146,Sales_Reps!$A:$E,3,FALSE)</f>
        <v>West</v>
      </c>
      <c r="R146" t="str">
        <f>VLOOKUP(E146,Sales_Reps!$A:$E,2,FALSE)</f>
        <v>Preeti Shah</v>
      </c>
      <c r="S146">
        <f t="shared" si="2"/>
        <v>0.28300492610837441</v>
      </c>
    </row>
    <row r="147" spans="1:19" x14ac:dyDescent="0.3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  <c r="L147" t="str">
        <f>VLOOKUP(D147,Products!$A:$F,3,FALSE)</f>
        <v>Apparel</v>
      </c>
      <c r="M147" t="b">
        <f>VLOOKUP(D147,Products!$A:$F,6,FALSE)</f>
        <v>1</v>
      </c>
      <c r="N147">
        <f>VLOOKUP(D147,Products!$A:$F,4,FALSE)</f>
        <v>391</v>
      </c>
      <c r="O147" t="e">
        <f>VLOOKUP(C147,Customers!$A:$F,5,FALSE)</f>
        <v>#N/A</v>
      </c>
      <c r="P147" t="e">
        <f>VLOOKUP(C147,Customers!$A:$F,3,FALSE)</f>
        <v>#N/A</v>
      </c>
      <c r="Q147" t="str">
        <f>VLOOKUP(E147,Sales_Reps!$A:$E,3,FALSE)</f>
        <v>East</v>
      </c>
      <c r="R147" t="str">
        <f>VLOOKUP(E147,Sales_Reps!$A:$E,2,FALSE)</f>
        <v>Shalini Patel</v>
      </c>
      <c r="S147">
        <f t="shared" si="2"/>
        <v>0.52317073170731709</v>
      </c>
    </row>
    <row r="148" spans="1:19" x14ac:dyDescent="0.3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  <c r="L148" t="str">
        <f>VLOOKUP(D148,Products!$A:$F,3,FALSE)</f>
        <v>Home</v>
      </c>
      <c r="M148" t="b">
        <f>VLOOKUP(D148,Products!$A:$F,6,FALSE)</f>
        <v>1</v>
      </c>
      <c r="N148">
        <f>VLOOKUP(D148,Products!$A:$F,4,FALSE)</f>
        <v>288</v>
      </c>
      <c r="O148" t="str">
        <f>VLOOKUP(C148,Customers!$A:$F,5,FALSE)</f>
        <v>SMB</v>
      </c>
      <c r="P148">
        <f>VLOOKUP(C148,Customers!$A:$F,3,FALSE)</f>
        <v>30</v>
      </c>
      <c r="Q148" t="str">
        <f>VLOOKUP(E148,Sales_Reps!$A:$E,3,FALSE)</f>
        <v>North</v>
      </c>
      <c r="R148" t="str">
        <f>VLOOKUP(E148,Sales_Reps!$A:$E,2,FALSE)</f>
        <v>Suresh Menon</v>
      </c>
      <c r="S148">
        <f t="shared" si="2"/>
        <v>0.22162162162162163</v>
      </c>
    </row>
    <row r="149" spans="1:19" x14ac:dyDescent="0.3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  <c r="L149" t="str">
        <f>VLOOKUP(D149,Products!$A:$F,3,FALSE)</f>
        <v>Home</v>
      </c>
      <c r="M149" t="b">
        <f>VLOOKUP(D149,Products!$A:$F,6,FALSE)</f>
        <v>1</v>
      </c>
      <c r="N149">
        <f>VLOOKUP(D149,Products!$A:$F,4,FALSE)</f>
        <v>2459</v>
      </c>
      <c r="O149" t="str">
        <f>VLOOKUP(C149,Customers!$A:$F,5,FALSE)</f>
        <v>Retail</v>
      </c>
      <c r="P149">
        <f>VLOOKUP(C149,Customers!$A:$F,3,FALSE)</f>
        <v>65</v>
      </c>
      <c r="Q149" t="str">
        <f>VLOOKUP(E149,Sales_Reps!$A:$E,3,FALSE)</f>
        <v>North</v>
      </c>
      <c r="R149" t="str">
        <f>VLOOKUP(E149,Sales_Reps!$A:$E,2,FALSE)</f>
        <v>Sunita Malhotra</v>
      </c>
      <c r="S149">
        <f t="shared" si="2"/>
        <v>0.51594488188976373</v>
      </c>
    </row>
    <row r="150" spans="1:19" x14ac:dyDescent="0.3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  <c r="L150" t="str">
        <f>VLOOKUP(D150,Products!$A:$F,3,FALSE)</f>
        <v>Grocery</v>
      </c>
      <c r="M150" t="b">
        <f>VLOOKUP(D150,Products!$A:$F,6,FALSE)</f>
        <v>1</v>
      </c>
      <c r="N150">
        <f>VLOOKUP(D150,Products!$A:$F,4,FALSE)</f>
        <v>2027</v>
      </c>
      <c r="O150" t="str">
        <f>VLOOKUP(C150,Customers!$A:$F,5,FALSE)</f>
        <v>SMB</v>
      </c>
      <c r="P150">
        <f>VLOOKUP(C150,Customers!$A:$F,3,FALSE)</f>
        <v>54</v>
      </c>
      <c r="Q150" t="str">
        <f>VLOOKUP(E150,Sales_Reps!$A:$E,3,FALSE)</f>
        <v>South</v>
      </c>
      <c r="R150" t="str">
        <f>VLOOKUP(E150,Sales_Reps!$A:$E,2,FALSE)</f>
        <v>Pooja Nair</v>
      </c>
      <c r="S150">
        <f t="shared" si="2"/>
        <v>0.50196560196560192</v>
      </c>
    </row>
    <row r="151" spans="1:19" x14ac:dyDescent="0.3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  <c r="L151" t="str">
        <f>VLOOKUP(D151,Products!$A:$F,3,FALSE)</f>
        <v>Electronics</v>
      </c>
      <c r="M151" t="b">
        <f>VLOOKUP(D151,Products!$A:$F,6,FALSE)</f>
        <v>1</v>
      </c>
      <c r="N151">
        <f>VLOOKUP(D151,Products!$A:$F,4,FALSE)</f>
        <v>128</v>
      </c>
      <c r="O151" t="str">
        <f>VLOOKUP(C151,Customers!$A:$F,5,FALSE)</f>
        <v>SMB</v>
      </c>
      <c r="P151">
        <f>VLOOKUP(C151,Customers!$A:$F,3,FALSE)</f>
        <v>30</v>
      </c>
      <c r="Q151" t="str">
        <f>VLOOKUP(E151,Sales_Reps!$A:$E,3,FALSE)</f>
        <v>West</v>
      </c>
      <c r="R151" t="str">
        <f>VLOOKUP(E151,Sales_Reps!$A:$E,2,FALSE)</f>
        <v>Rekha Chopra</v>
      </c>
      <c r="S151">
        <f t="shared" si="2"/>
        <v>0.57333333333333336</v>
      </c>
    </row>
    <row r="152" spans="1:19" x14ac:dyDescent="0.3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  <c r="L152" t="str">
        <f>VLOOKUP(D152,Products!$A:$F,3,FALSE)</f>
        <v>Beauty</v>
      </c>
      <c r="M152" t="b">
        <f>VLOOKUP(D152,Products!$A:$F,6,FALSE)</f>
        <v>1</v>
      </c>
      <c r="N152">
        <f>VLOOKUP(D152,Products!$A:$F,4,FALSE)</f>
        <v>2237</v>
      </c>
      <c r="O152" t="str">
        <f>VLOOKUP(C152,Customers!$A:$F,5,FALSE)</f>
        <v>Retail</v>
      </c>
      <c r="P152">
        <f>VLOOKUP(C152,Customers!$A:$F,3,FALSE)</f>
        <v>41</v>
      </c>
      <c r="Q152" t="str">
        <f>VLOOKUP(E152,Sales_Reps!$A:$E,3,FALSE)</f>
        <v>South</v>
      </c>
      <c r="R152" t="str">
        <f>VLOOKUP(E152,Sales_Reps!$A:$E,2,FALSE)</f>
        <v>Anil Verma</v>
      </c>
      <c r="S152">
        <f t="shared" si="2"/>
        <v>0.56137254901960787</v>
      </c>
    </row>
    <row r="153" spans="1:19" x14ac:dyDescent="0.3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  <c r="L153" t="str">
        <f>VLOOKUP(D153,Products!$A:$F,3,FALSE)</f>
        <v>Home</v>
      </c>
      <c r="M153" t="b">
        <f>VLOOKUP(D153,Products!$A:$F,6,FALSE)</f>
        <v>1</v>
      </c>
      <c r="N153">
        <f>VLOOKUP(D153,Products!$A:$F,4,FALSE)</f>
        <v>2549</v>
      </c>
      <c r="O153" t="str">
        <f>VLOOKUP(C153,Customers!$A:$F,5,FALSE)</f>
        <v>Retail</v>
      </c>
      <c r="P153">
        <f>VLOOKUP(C153,Customers!$A:$F,3,FALSE)</f>
        <v>37</v>
      </c>
      <c r="Q153" t="str">
        <f>VLOOKUP(E153,Sales_Reps!$A:$E,3,FALSE)</f>
        <v>South</v>
      </c>
      <c r="R153" t="str">
        <f>VLOOKUP(E153,Sales_Reps!$A:$E,2,FALSE)</f>
        <v>Pooja Nair</v>
      </c>
      <c r="S153">
        <f t="shared" si="2"/>
        <v>0.53570127504553733</v>
      </c>
    </row>
    <row r="154" spans="1:19" x14ac:dyDescent="0.3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  <c r="L154" t="str">
        <f>VLOOKUP(D154,Products!$A:$F,3,FALSE)</f>
        <v>Apparel</v>
      </c>
      <c r="M154" t="b">
        <f>VLOOKUP(D154,Products!$A:$F,6,FALSE)</f>
        <v>1</v>
      </c>
      <c r="N154">
        <f>VLOOKUP(D154,Products!$A:$F,4,FALSE)</f>
        <v>1748</v>
      </c>
      <c r="O154" t="str">
        <f>VLOOKUP(C154,Customers!$A:$F,5,FALSE)</f>
        <v>SMB</v>
      </c>
      <c r="P154">
        <f>VLOOKUP(C154,Customers!$A:$F,3,FALSE)</f>
        <v>34</v>
      </c>
      <c r="Q154" t="str">
        <f>VLOOKUP(E154,Sales_Reps!$A:$E,3,FALSE)</f>
        <v>South</v>
      </c>
      <c r="R154" t="str">
        <f>VLOOKUP(E154,Sales_Reps!$A:$E,2,FALSE)</f>
        <v>Deepak Shah</v>
      </c>
      <c r="S154">
        <f t="shared" si="2"/>
        <v>0.49333333333333335</v>
      </c>
    </row>
    <row r="155" spans="1:19" x14ac:dyDescent="0.3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  <c r="L155" t="str">
        <f>VLOOKUP(D155,Products!$A:$F,3,FALSE)</f>
        <v>Grocery</v>
      </c>
      <c r="M155" t="b">
        <f>VLOOKUP(D155,Products!$A:$F,6,FALSE)</f>
        <v>1</v>
      </c>
      <c r="N155">
        <f>VLOOKUP(D155,Products!$A:$F,4,FALSE)</f>
        <v>1010</v>
      </c>
      <c r="O155" t="str">
        <f>VLOOKUP(C155,Customers!$A:$F,5,FALSE)</f>
        <v>Corporate</v>
      </c>
      <c r="P155">
        <f>VLOOKUP(C155,Customers!$A:$F,3,FALSE)</f>
        <v>43</v>
      </c>
      <c r="Q155" t="str">
        <f>VLOOKUP(E155,Sales_Reps!$A:$E,3,FALSE)</f>
        <v>North</v>
      </c>
      <c r="R155" t="str">
        <f>VLOOKUP(E155,Sales_Reps!$A:$E,2,FALSE)</f>
        <v>Sunita Malhotra</v>
      </c>
      <c r="S155">
        <f t="shared" si="2"/>
        <v>0.54298642533936647</v>
      </c>
    </row>
    <row r="156" spans="1:19" x14ac:dyDescent="0.3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  <c r="L156" t="str">
        <f>VLOOKUP(D156,Products!$A:$F,3,FALSE)</f>
        <v>Home</v>
      </c>
      <c r="M156" t="b">
        <f>VLOOKUP(D156,Products!$A:$F,6,FALSE)</f>
        <v>1</v>
      </c>
      <c r="N156">
        <f>VLOOKUP(D156,Products!$A:$F,4,FALSE)</f>
        <v>1556</v>
      </c>
      <c r="O156" t="str">
        <f>VLOOKUP(C156,Customers!$A:$F,5,FALSE)</f>
        <v>SMB</v>
      </c>
      <c r="P156">
        <f>VLOOKUP(C156,Customers!$A:$F,3,FALSE)</f>
        <v>36</v>
      </c>
      <c r="Q156" t="str">
        <f>VLOOKUP(E156,Sales_Reps!$A:$E,3,FALSE)</f>
        <v>South</v>
      </c>
      <c r="R156" t="str">
        <f>VLOOKUP(E156,Sales_Reps!$A:$E,2,FALSE)</f>
        <v>Sanjay Kapoor</v>
      </c>
      <c r="S156">
        <f t="shared" si="2"/>
        <v>0.52123076923076928</v>
      </c>
    </row>
    <row r="157" spans="1:19" x14ac:dyDescent="0.3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  <c r="L157" t="str">
        <f>VLOOKUP(D157,Products!$A:$F,3,FALSE)</f>
        <v>Apparel</v>
      </c>
      <c r="M157" t="b">
        <f>VLOOKUP(D157,Products!$A:$F,6,FALSE)</f>
        <v>1</v>
      </c>
      <c r="N157">
        <f>VLOOKUP(D157,Products!$A:$F,4,FALSE)</f>
        <v>1886</v>
      </c>
      <c r="O157" t="str">
        <f>VLOOKUP(C157,Customers!$A:$F,5,FALSE)</f>
        <v>Retail</v>
      </c>
      <c r="P157">
        <f>VLOOKUP(C157,Customers!$A:$F,3,FALSE)</f>
        <v>29</v>
      </c>
      <c r="Q157" t="str">
        <f>VLOOKUP(E157,Sales_Reps!$A:$E,3,FALSE)</f>
        <v>North</v>
      </c>
      <c r="R157" t="str">
        <f>VLOOKUP(E157,Sales_Reps!$A:$E,2,FALSE)</f>
        <v>Rajesh Malhotra</v>
      </c>
      <c r="S157">
        <f t="shared" si="2"/>
        <v>0.4031645569620253</v>
      </c>
    </row>
    <row r="158" spans="1:19" x14ac:dyDescent="0.3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  <c r="L158" t="str">
        <f>VLOOKUP(D158,Products!$A:$F,3,FALSE)</f>
        <v>Electronics</v>
      </c>
      <c r="M158" t="b">
        <f>VLOOKUP(D158,Products!$A:$F,6,FALSE)</f>
        <v>1</v>
      </c>
      <c r="N158">
        <f>VLOOKUP(D158,Products!$A:$F,4,FALSE)</f>
        <v>1559</v>
      </c>
      <c r="O158" t="str">
        <f>VLOOKUP(C158,Customers!$A:$F,5,FALSE)</f>
        <v>SMB</v>
      </c>
      <c r="P158">
        <f>VLOOKUP(C158,Customers!$A:$F,3,FALSE)</f>
        <v>53</v>
      </c>
      <c r="Q158" t="str">
        <f>VLOOKUP(E158,Sales_Reps!$A:$E,3,FALSE)</f>
        <v>West</v>
      </c>
      <c r="R158" t="str">
        <f>VLOOKUP(E158,Sales_Reps!$A:$E,2,FALSE)</f>
        <v>Kiran Bhatt</v>
      </c>
      <c r="S158">
        <f t="shared" si="2"/>
        <v>0.59715762273901807</v>
      </c>
    </row>
    <row r="159" spans="1:19" x14ac:dyDescent="0.3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  <c r="L159" t="str">
        <f>VLOOKUP(D159,Products!$A:$F,3,FALSE)</f>
        <v>Sports</v>
      </c>
      <c r="M159" t="b">
        <f>VLOOKUP(D159,Products!$A:$F,6,FALSE)</f>
        <v>1</v>
      </c>
      <c r="N159">
        <f>VLOOKUP(D159,Products!$A:$F,4,FALSE)</f>
        <v>1860</v>
      </c>
      <c r="O159" t="str">
        <f>VLOOKUP(C159,Customers!$A:$F,5,FALSE)</f>
        <v>Corporate</v>
      </c>
      <c r="P159">
        <f>VLOOKUP(C159,Customers!$A:$F,3,FALSE)</f>
        <v>37</v>
      </c>
      <c r="Q159" t="str">
        <f>VLOOKUP(E159,Sales_Reps!$A:$E,3,FALSE)</f>
        <v>East</v>
      </c>
      <c r="R159" t="str">
        <f>VLOOKUP(E159,Sales_Reps!$A:$E,2,FALSE)</f>
        <v>Nisha Menon</v>
      </c>
      <c r="S159">
        <f t="shared" si="2"/>
        <v>0.50793650793650791</v>
      </c>
    </row>
    <row r="160" spans="1:19" x14ac:dyDescent="0.3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  <c r="L160" t="str">
        <f>VLOOKUP(D160,Products!$A:$F,3,FALSE)</f>
        <v>Beauty</v>
      </c>
      <c r="M160" t="b">
        <f>VLOOKUP(D160,Products!$A:$F,6,FALSE)</f>
        <v>1</v>
      </c>
      <c r="N160">
        <f>VLOOKUP(D160,Products!$A:$F,4,FALSE)</f>
        <v>1626</v>
      </c>
      <c r="O160" t="str">
        <f>VLOOKUP(C160,Customers!$A:$F,5,FALSE)</f>
        <v>Retail</v>
      </c>
      <c r="P160">
        <f>VLOOKUP(C160,Customers!$A:$F,3,FALSE)</f>
        <v>55</v>
      </c>
      <c r="Q160" t="str">
        <f>VLOOKUP(E160,Sales_Reps!$A:$E,3,FALSE)</f>
        <v>East</v>
      </c>
      <c r="R160" t="str">
        <f>VLOOKUP(E160,Sales_Reps!$A:$E,2,FALSE)</f>
        <v>Gaurav Desai</v>
      </c>
      <c r="S160">
        <f t="shared" si="2"/>
        <v>0.46158940397350995</v>
      </c>
    </row>
    <row r="161" spans="1:19" x14ac:dyDescent="0.3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  <c r="L161" t="str">
        <f>VLOOKUP(D161,Products!$A:$F,3,FALSE)</f>
        <v>Home</v>
      </c>
      <c r="M161" t="b">
        <f>VLOOKUP(D161,Products!$A:$F,6,FALSE)</f>
        <v>1</v>
      </c>
      <c r="N161">
        <f>VLOOKUP(D161,Products!$A:$F,4,FALSE)</f>
        <v>2135</v>
      </c>
      <c r="O161" t="str">
        <f>VLOOKUP(C161,Customers!$A:$F,5,FALSE)</f>
        <v>Retail</v>
      </c>
      <c r="P161">
        <f>VLOOKUP(C161,Customers!$A:$F,3,FALSE)</f>
        <v>61</v>
      </c>
      <c r="Q161" t="str">
        <f>VLOOKUP(E161,Sales_Reps!$A:$E,3,FALSE)</f>
        <v>South</v>
      </c>
      <c r="R161" t="str">
        <f>VLOOKUP(E161,Sales_Reps!$A:$E,2,FALSE)</f>
        <v>Deepak Shah</v>
      </c>
      <c r="S161">
        <f t="shared" si="2"/>
        <v>0.42761394101876676</v>
      </c>
    </row>
    <row r="162" spans="1:19" x14ac:dyDescent="0.3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  <c r="L162" t="str">
        <f>VLOOKUP(D162,Products!$A:$F,3,FALSE)</f>
        <v>Beauty</v>
      </c>
      <c r="M162" t="b">
        <f>VLOOKUP(D162,Products!$A:$F,6,FALSE)</f>
        <v>1</v>
      </c>
      <c r="N162">
        <f>VLOOKUP(D162,Products!$A:$F,4,FALSE)</f>
        <v>2768</v>
      </c>
      <c r="O162" t="str">
        <f>VLOOKUP(C162,Customers!$A:$F,5,FALSE)</f>
        <v>SMB</v>
      </c>
      <c r="P162">
        <f>VLOOKUP(C162,Customers!$A:$F,3,FALSE)</f>
        <v>65</v>
      </c>
      <c r="Q162" t="str">
        <f>VLOOKUP(E162,Sales_Reps!$A:$E,3,FALSE)</f>
        <v>East</v>
      </c>
      <c r="R162" t="str">
        <f>VLOOKUP(E162,Sales_Reps!$A:$E,2,FALSE)</f>
        <v>Shalini Patel</v>
      </c>
      <c r="S162">
        <f t="shared" si="2"/>
        <v>0.43278688524590164</v>
      </c>
    </row>
    <row r="163" spans="1:19" x14ac:dyDescent="0.3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  <c r="L163" t="str">
        <f>VLOOKUP(D163,Products!$A:$F,3,FALSE)</f>
        <v>Grocery</v>
      </c>
      <c r="M163" t="b">
        <f>VLOOKUP(D163,Products!$A:$F,6,FALSE)</f>
        <v>1</v>
      </c>
      <c r="N163">
        <f>VLOOKUP(D163,Products!$A:$F,4,FALSE)</f>
        <v>434</v>
      </c>
      <c r="O163" t="str">
        <f>VLOOKUP(C163,Customers!$A:$F,5,FALSE)</f>
        <v>Retail</v>
      </c>
      <c r="P163">
        <f>VLOOKUP(C163,Customers!$A:$F,3,FALSE)</f>
        <v>63</v>
      </c>
      <c r="Q163" t="str">
        <f>VLOOKUP(E163,Sales_Reps!$A:$E,3,FALSE)</f>
        <v>West</v>
      </c>
      <c r="R163" t="str">
        <f>VLOOKUP(E163,Sales_Reps!$A:$E,2,FALSE)</f>
        <v>Sonia Malhotra</v>
      </c>
      <c r="S163">
        <f t="shared" si="2"/>
        <v>0.5525773195876289</v>
      </c>
    </row>
    <row r="164" spans="1:19" x14ac:dyDescent="0.3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  <c r="L164" t="str">
        <f>VLOOKUP(D164,Products!$A:$F,3,FALSE)</f>
        <v>Electronics</v>
      </c>
      <c r="M164" t="b">
        <f>VLOOKUP(D164,Products!$A:$F,6,FALSE)</f>
        <v>0</v>
      </c>
      <c r="N164">
        <f>VLOOKUP(D164,Products!$A:$F,4,FALSE)</f>
        <v>1259</v>
      </c>
      <c r="O164" t="str">
        <f>VLOOKUP(C164,Customers!$A:$F,5,FALSE)</f>
        <v>SMB</v>
      </c>
      <c r="P164">
        <f>VLOOKUP(C164,Customers!$A:$F,3,FALSE)</f>
        <v>43</v>
      </c>
      <c r="Q164" t="str">
        <f>VLOOKUP(E164,Sales_Reps!$A:$E,3,FALSE)</f>
        <v>East</v>
      </c>
      <c r="R164" t="str">
        <f>VLOOKUP(E164,Sales_Reps!$A:$E,2,FALSE)</f>
        <v>Naveen Singh</v>
      </c>
      <c r="S164">
        <f t="shared" si="2"/>
        <v>0.52669172932330832</v>
      </c>
    </row>
    <row r="165" spans="1:19" x14ac:dyDescent="0.3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  <c r="L165" t="str">
        <f>VLOOKUP(D165,Products!$A:$F,3,FALSE)</f>
        <v>Apparel</v>
      </c>
      <c r="M165" t="b">
        <f>VLOOKUP(D165,Products!$A:$F,6,FALSE)</f>
        <v>1</v>
      </c>
      <c r="N165">
        <f>VLOOKUP(D165,Products!$A:$F,4,FALSE)</f>
        <v>391</v>
      </c>
      <c r="O165" t="str">
        <f>VLOOKUP(C165,Customers!$A:$F,5,FALSE)</f>
        <v>SMB</v>
      </c>
      <c r="P165">
        <f>VLOOKUP(C165,Customers!$A:$F,3,FALSE)</f>
        <v>27</v>
      </c>
      <c r="Q165" t="str">
        <f>VLOOKUP(E165,Sales_Reps!$A:$E,3,FALSE)</f>
        <v>South</v>
      </c>
      <c r="R165" t="str">
        <f>VLOOKUP(E165,Sales_Reps!$A:$E,2,FALSE)</f>
        <v>Deepak Shah</v>
      </c>
      <c r="S165">
        <f t="shared" si="2"/>
        <v>0.52317073170731709</v>
      </c>
    </row>
    <row r="166" spans="1:19" x14ac:dyDescent="0.3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  <c r="L166" t="str">
        <f>VLOOKUP(D166,Products!$A:$F,3,FALSE)</f>
        <v>Home</v>
      </c>
      <c r="M166" t="b">
        <f>VLOOKUP(D166,Products!$A:$F,6,FALSE)</f>
        <v>1</v>
      </c>
      <c r="N166">
        <f>VLOOKUP(D166,Products!$A:$F,4,FALSE)</f>
        <v>1143</v>
      </c>
      <c r="O166" t="str">
        <f>VLOOKUP(C166,Customers!$A:$F,5,FALSE)</f>
        <v>Corporate</v>
      </c>
      <c r="P166">
        <f>VLOOKUP(C166,Customers!$A:$F,3,FALSE)</f>
        <v>35</v>
      </c>
      <c r="Q166" t="str">
        <f>VLOOKUP(E166,Sales_Reps!$A:$E,3,FALSE)</f>
        <v>South</v>
      </c>
      <c r="R166" t="str">
        <f>VLOOKUP(E166,Sales_Reps!$A:$E,2,FALSE)</f>
        <v>Manoj Patel</v>
      </c>
      <c r="S166">
        <f t="shared" si="2"/>
        <v>0.43694581280788175</v>
      </c>
    </row>
    <row r="167" spans="1:19" x14ac:dyDescent="0.3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  <c r="L167" t="str">
        <f>VLOOKUP(D167,Products!$A:$F,3,FALSE)</f>
        <v>Apparel</v>
      </c>
      <c r="M167" t="b">
        <f>VLOOKUP(D167,Products!$A:$F,6,FALSE)</f>
        <v>1</v>
      </c>
      <c r="N167">
        <f>VLOOKUP(D167,Products!$A:$F,4,FALSE)</f>
        <v>396</v>
      </c>
      <c r="O167" t="str">
        <f>VLOOKUP(C167,Customers!$A:$F,5,FALSE)</f>
        <v>SMB</v>
      </c>
      <c r="P167">
        <f>VLOOKUP(C167,Customers!$A:$F,3,FALSE)</f>
        <v>59</v>
      </c>
      <c r="Q167" t="str">
        <f>VLOOKUP(E167,Sales_Reps!$A:$E,3,FALSE)</f>
        <v>South</v>
      </c>
      <c r="R167" t="str">
        <f>VLOOKUP(E167,Sales_Reps!$A:$E,2,FALSE)</f>
        <v>Manoj Patel</v>
      </c>
      <c r="S167">
        <f t="shared" si="2"/>
        <v>0.36129032258064514</v>
      </c>
    </row>
    <row r="168" spans="1:19" x14ac:dyDescent="0.3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  <c r="L168" t="str">
        <f>VLOOKUP(D168,Products!$A:$F,3,FALSE)</f>
        <v>Grocery</v>
      </c>
      <c r="M168" t="b">
        <f>VLOOKUP(D168,Products!$A:$F,6,FALSE)</f>
        <v>1</v>
      </c>
      <c r="N168">
        <f>VLOOKUP(D168,Products!$A:$F,4,FALSE)</f>
        <v>1412</v>
      </c>
      <c r="O168" t="str">
        <f>VLOOKUP(C168,Customers!$A:$F,5,FALSE)</f>
        <v>SMB</v>
      </c>
      <c r="P168">
        <f>VLOOKUP(C168,Customers!$A:$F,3,FALSE)</f>
        <v>34</v>
      </c>
      <c r="Q168" t="str">
        <f>VLOOKUP(E168,Sales_Reps!$A:$E,3,FALSE)</f>
        <v>East</v>
      </c>
      <c r="R168" t="str">
        <f>VLOOKUP(E168,Sales_Reps!$A:$E,2,FALSE)</f>
        <v>Nisha Menon</v>
      </c>
      <c r="S168">
        <f t="shared" si="2"/>
        <v>0.37797356828193834</v>
      </c>
    </row>
    <row r="169" spans="1:19" x14ac:dyDescent="0.3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  <c r="L169" t="str">
        <f>VLOOKUP(D169,Products!$A:$F,3,FALSE)</f>
        <v>Sports</v>
      </c>
      <c r="M169" t="b">
        <f>VLOOKUP(D169,Products!$A:$F,6,FALSE)</f>
        <v>0</v>
      </c>
      <c r="N169">
        <f>VLOOKUP(D169,Products!$A:$F,4,FALSE)</f>
        <v>302</v>
      </c>
      <c r="O169" t="str">
        <f>VLOOKUP(C169,Customers!$A:$F,5,FALSE)</f>
        <v>SMB</v>
      </c>
      <c r="P169">
        <f>VLOOKUP(C169,Customers!$A:$F,3,FALSE)</f>
        <v>40</v>
      </c>
      <c r="Q169" t="str">
        <f>VLOOKUP(E169,Sales_Reps!$A:$E,3,FALSE)</f>
        <v>South</v>
      </c>
      <c r="R169" t="str">
        <f>VLOOKUP(E169,Sales_Reps!$A:$E,2,FALSE)</f>
        <v>Anjali Chopra</v>
      </c>
      <c r="S169">
        <f t="shared" si="2"/>
        <v>0.35744680851063831</v>
      </c>
    </row>
    <row r="170" spans="1:19" x14ac:dyDescent="0.3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  <c r="L170" t="str">
        <f>VLOOKUP(D170,Products!$A:$F,3,FALSE)</f>
        <v>Electronics</v>
      </c>
      <c r="M170" t="b">
        <f>VLOOKUP(D170,Products!$A:$F,6,FALSE)</f>
        <v>1</v>
      </c>
      <c r="N170">
        <f>VLOOKUP(D170,Products!$A:$F,4,FALSE)</f>
        <v>2405</v>
      </c>
      <c r="O170" t="str">
        <f>VLOOKUP(C170,Customers!$A:$F,5,FALSE)</f>
        <v>Retail</v>
      </c>
      <c r="P170">
        <f>VLOOKUP(C170,Customers!$A:$F,3,FALSE)</f>
        <v>63</v>
      </c>
      <c r="Q170" t="str">
        <f>VLOOKUP(E170,Sales_Reps!$A:$E,3,FALSE)</f>
        <v>North</v>
      </c>
      <c r="R170" t="str">
        <f>VLOOKUP(E170,Sales_Reps!$A:$E,2,FALSE)</f>
        <v>Suresh Menon</v>
      </c>
      <c r="S170">
        <f t="shared" si="2"/>
        <v>0.54878048780487809</v>
      </c>
    </row>
    <row r="171" spans="1:19" x14ac:dyDescent="0.3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  <c r="L171" t="str">
        <f>VLOOKUP(D171,Products!$A:$F,3,FALSE)</f>
        <v>Beauty</v>
      </c>
      <c r="M171" t="b">
        <f>VLOOKUP(D171,Products!$A:$F,6,FALSE)</f>
        <v>1</v>
      </c>
      <c r="N171">
        <f>VLOOKUP(D171,Products!$A:$F,4,FALSE)</f>
        <v>2617</v>
      </c>
      <c r="O171" t="str">
        <f>VLOOKUP(C171,Customers!$A:$F,5,FALSE)</f>
        <v>SMB</v>
      </c>
      <c r="P171">
        <f>VLOOKUP(C171,Customers!$A:$F,3,FALSE)</f>
        <v>49</v>
      </c>
      <c r="Q171" t="str">
        <f>VLOOKUP(E171,Sales_Reps!$A:$E,3,FALSE)</f>
        <v>North</v>
      </c>
      <c r="R171" t="str">
        <f>VLOOKUP(E171,Sales_Reps!$A:$E,2,FALSE)</f>
        <v>Sunita Malhotra</v>
      </c>
      <c r="S171">
        <f t="shared" si="2"/>
        <v>0.56957236842105263</v>
      </c>
    </row>
    <row r="172" spans="1:19" x14ac:dyDescent="0.3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  <c r="L172" t="str">
        <f>VLOOKUP(D172,Products!$A:$F,3,FALSE)</f>
        <v>Grocery</v>
      </c>
      <c r="M172" t="b">
        <f>VLOOKUP(D172,Products!$A:$F,6,FALSE)</f>
        <v>1</v>
      </c>
      <c r="N172">
        <f>VLOOKUP(D172,Products!$A:$F,4,FALSE)</f>
        <v>2436</v>
      </c>
      <c r="O172" t="str">
        <f>VLOOKUP(C172,Customers!$A:$F,5,FALSE)</f>
        <v>Retail</v>
      </c>
      <c r="P172">
        <f>VLOOKUP(C172,Customers!$A:$F,3,FALSE)</f>
        <v>54</v>
      </c>
      <c r="Q172" t="str">
        <f>VLOOKUP(E172,Sales_Reps!$A:$E,3,FALSE)</f>
        <v>East</v>
      </c>
      <c r="R172" t="str">
        <f>VLOOKUP(E172,Sales_Reps!$A:$E,2,FALSE)</f>
        <v>Nisha Menon</v>
      </c>
      <c r="S172">
        <f t="shared" si="2"/>
        <v>0.35555555555555557</v>
      </c>
    </row>
    <row r="173" spans="1:19" x14ac:dyDescent="0.3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  <c r="L173" t="str">
        <f>VLOOKUP(D173,Products!$A:$F,3,FALSE)</f>
        <v>Apparel</v>
      </c>
      <c r="M173" t="b">
        <f>VLOOKUP(D173,Products!$A:$F,6,FALSE)</f>
        <v>1</v>
      </c>
      <c r="N173">
        <f>VLOOKUP(D173,Products!$A:$F,4,FALSE)</f>
        <v>396</v>
      </c>
      <c r="O173" t="str">
        <f>VLOOKUP(C173,Customers!$A:$F,5,FALSE)</f>
        <v>Corporate</v>
      </c>
      <c r="P173">
        <f>VLOOKUP(C173,Customers!$A:$F,3,FALSE)</f>
        <v>52</v>
      </c>
      <c r="Q173" t="str">
        <f>VLOOKUP(E173,Sales_Reps!$A:$E,3,FALSE)</f>
        <v>South</v>
      </c>
      <c r="R173" t="str">
        <f>VLOOKUP(E173,Sales_Reps!$A:$E,2,FALSE)</f>
        <v>Divya Rao</v>
      </c>
      <c r="S173">
        <f t="shared" si="2"/>
        <v>0.36129032258064514</v>
      </c>
    </row>
    <row r="174" spans="1:19" x14ac:dyDescent="0.3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  <c r="L174" t="str">
        <f>VLOOKUP(D174,Products!$A:$F,3,FALSE)</f>
        <v>Apparel</v>
      </c>
      <c r="M174" t="b">
        <f>VLOOKUP(D174,Products!$A:$F,6,FALSE)</f>
        <v>0</v>
      </c>
      <c r="N174">
        <f>VLOOKUP(D174,Products!$A:$F,4,FALSE)</f>
        <v>1075</v>
      </c>
      <c r="O174" t="str">
        <f>VLOOKUP(C174,Customers!$A:$F,5,FALSE)</f>
        <v>Corporate</v>
      </c>
      <c r="P174">
        <f>VLOOKUP(C174,Customers!$A:$F,3,FALSE)</f>
        <v>48</v>
      </c>
      <c r="Q174" t="str">
        <f>VLOOKUP(E174,Sales_Reps!$A:$E,3,FALSE)</f>
        <v>West</v>
      </c>
      <c r="R174" t="str">
        <f>VLOOKUP(E174,Sales_Reps!$A:$E,2,FALSE)</f>
        <v>Ramesh Bhatt</v>
      </c>
      <c r="S174">
        <f t="shared" si="2"/>
        <v>0.57171314741035861</v>
      </c>
    </row>
    <row r="175" spans="1:19" x14ac:dyDescent="0.3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  <c r="L175" t="str">
        <f>VLOOKUP(D175,Products!$A:$F,3,FALSE)</f>
        <v>Apparel</v>
      </c>
      <c r="M175" t="b">
        <f>VLOOKUP(D175,Products!$A:$F,6,FALSE)</f>
        <v>1</v>
      </c>
      <c r="N175">
        <f>VLOOKUP(D175,Products!$A:$F,4,FALSE)</f>
        <v>1962</v>
      </c>
      <c r="O175" t="str">
        <f>VLOOKUP(C175,Customers!$A:$F,5,FALSE)</f>
        <v>Retail</v>
      </c>
      <c r="P175">
        <f>VLOOKUP(C175,Customers!$A:$F,3,FALSE)</f>
        <v>49</v>
      </c>
      <c r="Q175" t="str">
        <f>VLOOKUP(E175,Sales_Reps!$A:$E,3,FALSE)</f>
        <v>East</v>
      </c>
      <c r="R175" t="str">
        <f>VLOOKUP(E175,Sales_Reps!$A:$E,2,FALSE)</f>
        <v>Meera Iyer</v>
      </c>
      <c r="S175">
        <f t="shared" si="2"/>
        <v>0.2786764705882353</v>
      </c>
    </row>
    <row r="176" spans="1:19" x14ac:dyDescent="0.3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  <c r="L176" t="str">
        <f>VLOOKUP(D176,Products!$A:$F,3,FALSE)</f>
        <v>Sports</v>
      </c>
      <c r="M176" t="b">
        <f>VLOOKUP(D176,Products!$A:$F,6,FALSE)</f>
        <v>0</v>
      </c>
      <c r="N176">
        <f>VLOOKUP(D176,Products!$A:$F,4,FALSE)</f>
        <v>302</v>
      </c>
      <c r="O176" t="str">
        <f>VLOOKUP(C176,Customers!$A:$F,5,FALSE)</f>
        <v>Corporate</v>
      </c>
      <c r="P176">
        <f>VLOOKUP(C176,Customers!$A:$F,3,FALSE)</f>
        <v>29</v>
      </c>
      <c r="Q176" t="str">
        <f>VLOOKUP(E176,Sales_Reps!$A:$E,3,FALSE)</f>
        <v>East</v>
      </c>
      <c r="R176" t="str">
        <f>VLOOKUP(E176,Sales_Reps!$A:$E,2,FALSE)</f>
        <v>Shalini Patel</v>
      </c>
      <c r="S176">
        <f t="shared" si="2"/>
        <v>0.35744680851063831</v>
      </c>
    </row>
    <row r="177" spans="1:19" x14ac:dyDescent="0.3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  <c r="L177" t="str">
        <f>VLOOKUP(D177,Products!$A:$F,3,FALSE)</f>
        <v>Home</v>
      </c>
      <c r="M177" t="b">
        <f>VLOOKUP(D177,Products!$A:$F,6,FALSE)</f>
        <v>1</v>
      </c>
      <c r="N177">
        <f>VLOOKUP(D177,Products!$A:$F,4,FALSE)</f>
        <v>1556</v>
      </c>
      <c r="O177" t="str">
        <f>VLOOKUP(C177,Customers!$A:$F,5,FALSE)</f>
        <v>Retail</v>
      </c>
      <c r="P177">
        <f>VLOOKUP(C177,Customers!$A:$F,3,FALSE)</f>
        <v>46</v>
      </c>
      <c r="Q177" t="str">
        <f>VLOOKUP(E177,Sales_Reps!$A:$E,3,FALSE)</f>
        <v>East</v>
      </c>
      <c r="R177" t="str">
        <f>VLOOKUP(E177,Sales_Reps!$A:$E,2,FALSE)</f>
        <v>Shalini Patel</v>
      </c>
      <c r="S177">
        <f t="shared" si="2"/>
        <v>0.52123076923076928</v>
      </c>
    </row>
    <row r="178" spans="1:19" x14ac:dyDescent="0.3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  <c r="L178" t="str">
        <f>VLOOKUP(D178,Products!$A:$F,3,FALSE)</f>
        <v>Home</v>
      </c>
      <c r="M178" t="b">
        <f>VLOOKUP(D178,Products!$A:$F,6,FALSE)</f>
        <v>1</v>
      </c>
      <c r="N178">
        <f>VLOOKUP(D178,Products!$A:$F,4,FALSE)</f>
        <v>2459</v>
      </c>
      <c r="O178" t="str">
        <f>VLOOKUP(C178,Customers!$A:$F,5,FALSE)</f>
        <v>Retail</v>
      </c>
      <c r="P178">
        <f>VLOOKUP(C178,Customers!$A:$F,3,FALSE)</f>
        <v>59</v>
      </c>
      <c r="Q178" t="str">
        <f>VLOOKUP(E178,Sales_Reps!$A:$E,3,FALSE)</f>
        <v>West</v>
      </c>
      <c r="R178" t="str">
        <f>VLOOKUP(E178,Sales_Reps!$A:$E,2,FALSE)</f>
        <v>Preeti Shah</v>
      </c>
      <c r="S178">
        <f t="shared" si="2"/>
        <v>0.51594488188976373</v>
      </c>
    </row>
    <row r="179" spans="1:19" x14ac:dyDescent="0.3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  <c r="L179" t="str">
        <f>VLOOKUP(D179,Products!$A:$F,3,FALSE)</f>
        <v>Electronics</v>
      </c>
      <c r="M179" t="b">
        <f>VLOOKUP(D179,Products!$A:$F,6,FALSE)</f>
        <v>1</v>
      </c>
      <c r="N179">
        <f>VLOOKUP(D179,Products!$A:$F,4,FALSE)</f>
        <v>1665</v>
      </c>
      <c r="O179" t="str">
        <f>VLOOKUP(C179,Customers!$A:$F,5,FALSE)</f>
        <v>Retail</v>
      </c>
      <c r="P179">
        <f>VLOOKUP(C179,Customers!$A:$F,3,FALSE)</f>
        <v>65</v>
      </c>
      <c r="Q179" t="str">
        <f>VLOOKUP(E179,Sales_Reps!$A:$E,3,FALSE)</f>
        <v>South</v>
      </c>
      <c r="R179" t="str">
        <f>VLOOKUP(E179,Sales_Reps!$A:$E,2,FALSE)</f>
        <v>Pooja Nair</v>
      </c>
      <c r="S179">
        <f t="shared" si="2"/>
        <v>0.53361344537815125</v>
      </c>
    </row>
    <row r="180" spans="1:19" x14ac:dyDescent="0.3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  <c r="L180" t="str">
        <f>VLOOKUP(D180,Products!$A:$F,3,FALSE)</f>
        <v>Apparel</v>
      </c>
      <c r="M180" t="b">
        <f>VLOOKUP(D180,Products!$A:$F,6,FALSE)</f>
        <v>1</v>
      </c>
      <c r="N180">
        <f>VLOOKUP(D180,Products!$A:$F,4,FALSE)</f>
        <v>2611</v>
      </c>
      <c r="O180" t="str">
        <f>VLOOKUP(C180,Customers!$A:$F,5,FALSE)</f>
        <v>Retail</v>
      </c>
      <c r="P180">
        <f>VLOOKUP(C180,Customers!$A:$F,3,FALSE)</f>
        <v>57</v>
      </c>
      <c r="Q180" t="str">
        <f>VLOOKUP(E180,Sales_Reps!$A:$E,3,FALSE)</f>
        <v>South</v>
      </c>
      <c r="R180" t="str">
        <f>VLOOKUP(E180,Sales_Reps!$A:$E,2,FALSE)</f>
        <v>Pooja Nair</v>
      </c>
      <c r="S180">
        <f t="shared" si="2"/>
        <v>0.28269230769230769</v>
      </c>
    </row>
    <row r="181" spans="1:19" x14ac:dyDescent="0.3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  <c r="L181" t="str">
        <f>VLOOKUP(D181,Products!$A:$F,3,FALSE)</f>
        <v>Grocery</v>
      </c>
      <c r="M181" t="b">
        <f>VLOOKUP(D181,Products!$A:$F,6,FALSE)</f>
        <v>1</v>
      </c>
      <c r="N181">
        <f>VLOOKUP(D181,Products!$A:$F,4,FALSE)</f>
        <v>2027</v>
      </c>
      <c r="O181" t="str">
        <f>VLOOKUP(C181,Customers!$A:$F,5,FALSE)</f>
        <v>Retail</v>
      </c>
      <c r="P181">
        <f>VLOOKUP(C181,Customers!$A:$F,3,FALSE)</f>
        <v>63</v>
      </c>
      <c r="Q181" t="str">
        <f>VLOOKUP(E181,Sales_Reps!$A:$E,3,FALSE)</f>
        <v>North</v>
      </c>
      <c r="R181" t="str">
        <f>VLOOKUP(E181,Sales_Reps!$A:$E,2,FALSE)</f>
        <v>Rajesh Malhotra</v>
      </c>
      <c r="S181">
        <f t="shared" si="2"/>
        <v>0.50196560196560192</v>
      </c>
    </row>
    <row r="182" spans="1:19" x14ac:dyDescent="0.3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  <c r="L182" t="str">
        <f>VLOOKUP(D182,Products!$A:$F,3,FALSE)</f>
        <v>Apparel</v>
      </c>
      <c r="M182" t="b">
        <f>VLOOKUP(D182,Products!$A:$F,6,FALSE)</f>
        <v>1</v>
      </c>
      <c r="N182">
        <f>VLOOKUP(D182,Products!$A:$F,4,FALSE)</f>
        <v>1748</v>
      </c>
      <c r="O182" t="str">
        <f>VLOOKUP(C182,Customers!$A:$F,5,FALSE)</f>
        <v>Retail</v>
      </c>
      <c r="P182">
        <f>VLOOKUP(C182,Customers!$A:$F,3,FALSE)</f>
        <v>34</v>
      </c>
      <c r="Q182" t="str">
        <f>VLOOKUP(E182,Sales_Reps!$A:$E,3,FALSE)</f>
        <v>South</v>
      </c>
      <c r="R182" t="str">
        <f>VLOOKUP(E182,Sales_Reps!$A:$E,2,FALSE)</f>
        <v>Pooja Nair</v>
      </c>
      <c r="S182">
        <f t="shared" si="2"/>
        <v>0.49333333333333335</v>
      </c>
    </row>
    <row r="183" spans="1:19" x14ac:dyDescent="0.3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  <c r="L183" t="str">
        <f>VLOOKUP(D183,Products!$A:$F,3,FALSE)</f>
        <v>Home</v>
      </c>
      <c r="M183" t="b">
        <f>VLOOKUP(D183,Products!$A:$F,6,FALSE)</f>
        <v>1</v>
      </c>
      <c r="N183">
        <f>VLOOKUP(D183,Products!$A:$F,4,FALSE)</f>
        <v>2459</v>
      </c>
      <c r="O183" t="str">
        <f>VLOOKUP(C183,Customers!$A:$F,5,FALSE)</f>
        <v>Retail</v>
      </c>
      <c r="P183">
        <f>VLOOKUP(C183,Customers!$A:$F,3,FALSE)</f>
        <v>60</v>
      </c>
      <c r="Q183" t="str">
        <f>VLOOKUP(E183,Sales_Reps!$A:$E,3,FALSE)</f>
        <v>West</v>
      </c>
      <c r="R183" t="str">
        <f>VLOOKUP(E183,Sales_Reps!$A:$E,2,FALSE)</f>
        <v>Arun Iyer</v>
      </c>
      <c r="S183">
        <f t="shared" si="2"/>
        <v>0.51594488188976373</v>
      </c>
    </row>
    <row r="184" spans="1:19" x14ac:dyDescent="0.3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  <c r="L184" t="str">
        <f>VLOOKUP(D184,Products!$A:$F,3,FALSE)</f>
        <v>Grocery</v>
      </c>
      <c r="M184" t="b">
        <f>VLOOKUP(D184,Products!$A:$F,6,FALSE)</f>
        <v>1</v>
      </c>
      <c r="N184">
        <f>VLOOKUP(D184,Products!$A:$F,4,FALSE)</f>
        <v>1435</v>
      </c>
      <c r="O184" t="str">
        <f>VLOOKUP(C184,Customers!$A:$F,5,FALSE)</f>
        <v>Retail</v>
      </c>
      <c r="P184">
        <f>VLOOKUP(C184,Customers!$A:$F,3,FALSE)</f>
        <v>28</v>
      </c>
      <c r="Q184" t="str">
        <f>VLOOKUP(E184,Sales_Reps!$A:$E,3,FALSE)</f>
        <v>West</v>
      </c>
      <c r="R184" t="str">
        <f>VLOOKUP(E184,Sales_Reps!$A:$E,2,FALSE)</f>
        <v>Preeti Shah</v>
      </c>
      <c r="S184">
        <f t="shared" si="2"/>
        <v>0.48007246376811596</v>
      </c>
    </row>
    <row r="185" spans="1:19" x14ac:dyDescent="0.3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  <c r="L185" t="str">
        <f>VLOOKUP(D185,Products!$A:$F,3,FALSE)</f>
        <v>Beauty</v>
      </c>
      <c r="M185" t="b">
        <f>VLOOKUP(D185,Products!$A:$F,6,FALSE)</f>
        <v>1</v>
      </c>
      <c r="N185">
        <f>VLOOKUP(D185,Products!$A:$F,4,FALSE)</f>
        <v>1222</v>
      </c>
      <c r="O185" t="str">
        <f>VLOOKUP(C185,Customers!$A:$F,5,FALSE)</f>
        <v>Retail</v>
      </c>
      <c r="P185">
        <f>VLOOKUP(C185,Customers!$A:$F,3,FALSE)</f>
        <v>61</v>
      </c>
      <c r="Q185" t="str">
        <f>VLOOKUP(E185,Sales_Reps!$A:$E,3,FALSE)</f>
        <v>South</v>
      </c>
      <c r="R185" t="str">
        <f>VLOOKUP(E185,Sales_Reps!$A:$E,2,FALSE)</f>
        <v>Anjali Chopra</v>
      </c>
      <c r="S185">
        <f t="shared" si="2"/>
        <v>0.2593939393939394</v>
      </c>
    </row>
    <row r="186" spans="1:19" x14ac:dyDescent="0.3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  <c r="L186" t="str">
        <f>VLOOKUP(D186,Products!$A:$F,3,FALSE)</f>
        <v>Electronics</v>
      </c>
      <c r="M186" t="b">
        <f>VLOOKUP(D186,Products!$A:$F,6,FALSE)</f>
        <v>1</v>
      </c>
      <c r="N186">
        <f>VLOOKUP(D186,Products!$A:$F,4,FALSE)</f>
        <v>1559</v>
      </c>
      <c r="O186" t="str">
        <f>VLOOKUP(C186,Customers!$A:$F,5,FALSE)</f>
        <v>SMB</v>
      </c>
      <c r="P186">
        <f>VLOOKUP(C186,Customers!$A:$F,3,FALSE)</f>
        <v>43</v>
      </c>
      <c r="Q186" t="str">
        <f>VLOOKUP(E186,Sales_Reps!$A:$E,3,FALSE)</f>
        <v>North</v>
      </c>
      <c r="R186" t="str">
        <f>VLOOKUP(E186,Sales_Reps!$A:$E,2,FALSE)</f>
        <v>Suresh Menon</v>
      </c>
      <c r="S186">
        <f t="shared" si="2"/>
        <v>0.59715762273901807</v>
      </c>
    </row>
    <row r="187" spans="1:19" x14ac:dyDescent="0.3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  <c r="L187" t="str">
        <f>VLOOKUP(D187,Products!$A:$F,3,FALSE)</f>
        <v>Home</v>
      </c>
      <c r="M187" t="b">
        <f>VLOOKUP(D187,Products!$A:$F,6,FALSE)</f>
        <v>1</v>
      </c>
      <c r="N187">
        <f>VLOOKUP(D187,Products!$A:$F,4,FALSE)</f>
        <v>464</v>
      </c>
      <c r="O187" t="str">
        <f>VLOOKUP(C187,Customers!$A:$F,5,FALSE)</f>
        <v>SMB</v>
      </c>
      <c r="P187">
        <f>VLOOKUP(C187,Customers!$A:$F,3,FALSE)</f>
        <v>65</v>
      </c>
      <c r="Q187" t="str">
        <f>VLOOKUP(E187,Sales_Reps!$A:$E,3,FALSE)</f>
        <v>East</v>
      </c>
      <c r="R187" t="str">
        <f>VLOOKUP(E187,Sales_Reps!$A:$E,2,FALSE)</f>
        <v>Nisha Menon</v>
      </c>
      <c r="S187">
        <f t="shared" si="2"/>
        <v>0.57431192660550456</v>
      </c>
    </row>
    <row r="188" spans="1:19" x14ac:dyDescent="0.3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  <c r="L188" t="str">
        <f>VLOOKUP(D188,Products!$A:$F,3,FALSE)</f>
        <v>Beauty</v>
      </c>
      <c r="M188" t="b">
        <f>VLOOKUP(D188,Products!$A:$F,6,FALSE)</f>
        <v>1</v>
      </c>
      <c r="N188">
        <f>VLOOKUP(D188,Products!$A:$F,4,FALSE)</f>
        <v>675</v>
      </c>
      <c r="O188" t="str">
        <f>VLOOKUP(C188,Customers!$A:$F,5,FALSE)</f>
        <v>Corporate</v>
      </c>
      <c r="P188">
        <f>VLOOKUP(C188,Customers!$A:$F,3,FALSE)</f>
        <v>36</v>
      </c>
      <c r="Q188" t="str">
        <f>VLOOKUP(E188,Sales_Reps!$A:$E,3,FALSE)</f>
        <v>West</v>
      </c>
      <c r="R188" t="str">
        <f>VLOOKUP(E188,Sales_Reps!$A:$E,2,FALSE)</f>
        <v>Ashok Reddy</v>
      </c>
      <c r="S188">
        <f t="shared" si="2"/>
        <v>0.296875</v>
      </c>
    </row>
    <row r="189" spans="1:19" x14ac:dyDescent="0.3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  <c r="L189" t="str">
        <f>VLOOKUP(D189,Products!$A:$F,3,FALSE)</f>
        <v>Beauty</v>
      </c>
      <c r="M189" t="b">
        <f>VLOOKUP(D189,Products!$A:$F,6,FALSE)</f>
        <v>1</v>
      </c>
      <c r="N189">
        <f>VLOOKUP(D189,Products!$A:$F,4,FALSE)</f>
        <v>1728</v>
      </c>
      <c r="O189" t="str">
        <f>VLOOKUP(C189,Customers!$A:$F,5,FALSE)</f>
        <v>Retail</v>
      </c>
      <c r="P189">
        <f>VLOOKUP(C189,Customers!$A:$F,3,FALSE)</f>
        <v>34</v>
      </c>
      <c r="Q189" t="str">
        <f>VLOOKUP(E189,Sales_Reps!$A:$E,3,FALSE)</f>
        <v>East</v>
      </c>
      <c r="R189" t="str">
        <f>VLOOKUP(E189,Sales_Reps!$A:$E,2,FALSE)</f>
        <v>Gaurav Desai</v>
      </c>
      <c r="S189">
        <f t="shared" si="2"/>
        <v>0.48417910447761192</v>
      </c>
    </row>
    <row r="190" spans="1:19" x14ac:dyDescent="0.3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  <c r="L190" t="str">
        <f>VLOOKUP(D190,Products!$A:$F,3,FALSE)</f>
        <v>Grocery</v>
      </c>
      <c r="M190" t="b">
        <f>VLOOKUP(D190,Products!$A:$F,6,FALSE)</f>
        <v>1</v>
      </c>
      <c r="N190">
        <f>VLOOKUP(D190,Products!$A:$F,4,FALSE)</f>
        <v>1412</v>
      </c>
      <c r="O190" t="str">
        <f>VLOOKUP(C190,Customers!$A:$F,5,FALSE)</f>
        <v>Retail</v>
      </c>
      <c r="P190">
        <f>VLOOKUP(C190,Customers!$A:$F,3,FALSE)</f>
        <v>59</v>
      </c>
      <c r="Q190" t="str">
        <f>VLOOKUP(E190,Sales_Reps!$A:$E,3,FALSE)</f>
        <v>North</v>
      </c>
      <c r="R190" t="str">
        <f>VLOOKUP(E190,Sales_Reps!$A:$E,2,FALSE)</f>
        <v>Vikram Patel</v>
      </c>
      <c r="S190">
        <f t="shared" si="2"/>
        <v>0.37797356828193834</v>
      </c>
    </row>
    <row r="191" spans="1:19" x14ac:dyDescent="0.3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  <c r="L191" t="str">
        <f>VLOOKUP(D191,Products!$A:$F,3,FALSE)</f>
        <v>Home</v>
      </c>
      <c r="M191" t="b">
        <f>VLOOKUP(D191,Products!$A:$F,6,FALSE)</f>
        <v>1</v>
      </c>
      <c r="N191">
        <f>VLOOKUP(D191,Products!$A:$F,4,FALSE)</f>
        <v>1850</v>
      </c>
      <c r="O191" t="str">
        <f>VLOOKUP(C191,Customers!$A:$F,5,FALSE)</f>
        <v>Retail</v>
      </c>
      <c r="P191">
        <f>VLOOKUP(C191,Customers!$A:$F,3,FALSE)</f>
        <v>55</v>
      </c>
      <c r="Q191" t="str">
        <f>VLOOKUP(E191,Sales_Reps!$A:$E,3,FALSE)</f>
        <v>East</v>
      </c>
      <c r="R191" t="str">
        <f>VLOOKUP(E191,Sales_Reps!$A:$E,2,FALSE)</f>
        <v>Vinod Kumar</v>
      </c>
      <c r="S191">
        <f t="shared" si="2"/>
        <v>0.59869848156182215</v>
      </c>
    </row>
    <row r="192" spans="1:19" x14ac:dyDescent="0.3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  <c r="L192" t="str">
        <f>VLOOKUP(D192,Products!$A:$F,3,FALSE)</f>
        <v>Apparel</v>
      </c>
      <c r="M192" t="b">
        <f>VLOOKUP(D192,Products!$A:$F,6,FALSE)</f>
        <v>1</v>
      </c>
      <c r="N192">
        <f>VLOOKUP(D192,Products!$A:$F,4,FALSE)</f>
        <v>1886</v>
      </c>
      <c r="O192" t="str">
        <f>VLOOKUP(C192,Customers!$A:$F,5,FALSE)</f>
        <v>SMB</v>
      </c>
      <c r="P192">
        <f>VLOOKUP(C192,Customers!$A:$F,3,FALSE)</f>
        <v>26</v>
      </c>
      <c r="Q192" t="str">
        <f>VLOOKUP(E192,Sales_Reps!$A:$E,3,FALSE)</f>
        <v>South</v>
      </c>
      <c r="R192" t="str">
        <f>VLOOKUP(E192,Sales_Reps!$A:$E,2,FALSE)</f>
        <v>Manoj Patel</v>
      </c>
      <c r="S192">
        <f t="shared" si="2"/>
        <v>0.4031645569620253</v>
      </c>
    </row>
    <row r="193" spans="1:19" x14ac:dyDescent="0.3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  <c r="L193" t="str">
        <f>VLOOKUP(D193,Products!$A:$F,3,FALSE)</f>
        <v>Grocery</v>
      </c>
      <c r="M193" t="b">
        <f>VLOOKUP(D193,Products!$A:$F,6,FALSE)</f>
        <v>1</v>
      </c>
      <c r="N193">
        <f>VLOOKUP(D193,Products!$A:$F,4,FALSE)</f>
        <v>1412</v>
      </c>
      <c r="O193" t="str">
        <f>VLOOKUP(C193,Customers!$A:$F,5,FALSE)</f>
        <v>Retail</v>
      </c>
      <c r="P193">
        <f>VLOOKUP(C193,Customers!$A:$F,3,FALSE)</f>
        <v>61</v>
      </c>
      <c r="Q193" t="str">
        <f>VLOOKUP(E193,Sales_Reps!$A:$E,3,FALSE)</f>
        <v>North</v>
      </c>
      <c r="R193" t="str">
        <f>VLOOKUP(E193,Sales_Reps!$A:$E,2,FALSE)</f>
        <v>Priya Singh</v>
      </c>
      <c r="S193">
        <f t="shared" si="2"/>
        <v>0.37797356828193834</v>
      </c>
    </row>
    <row r="194" spans="1:19" x14ac:dyDescent="0.3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  <c r="L194" t="str">
        <f>VLOOKUP(D194,Products!$A:$F,3,FALSE)</f>
        <v>Beauty</v>
      </c>
      <c r="M194" t="b">
        <f>VLOOKUP(D194,Products!$A:$F,6,FALSE)</f>
        <v>1</v>
      </c>
      <c r="N194">
        <f>VLOOKUP(D194,Products!$A:$F,4,FALSE)</f>
        <v>1626</v>
      </c>
      <c r="O194" t="str">
        <f>VLOOKUP(C194,Customers!$A:$F,5,FALSE)</f>
        <v>Retail</v>
      </c>
      <c r="P194">
        <f>VLOOKUP(C194,Customers!$A:$F,3,FALSE)</f>
        <v>56</v>
      </c>
      <c r="Q194" t="str">
        <f>VLOOKUP(E194,Sales_Reps!$A:$E,3,FALSE)</f>
        <v>West</v>
      </c>
      <c r="R194" t="str">
        <f>VLOOKUP(E194,Sales_Reps!$A:$E,2,FALSE)</f>
        <v>Preeti Shah</v>
      </c>
      <c r="S194">
        <f t="shared" si="2"/>
        <v>0.46158940397350995</v>
      </c>
    </row>
    <row r="195" spans="1:19" x14ac:dyDescent="0.3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  <c r="L195" t="str">
        <f>VLOOKUP(D195,Products!$A:$F,3,FALSE)</f>
        <v>Sports</v>
      </c>
      <c r="M195" t="b">
        <f>VLOOKUP(D195,Products!$A:$F,6,FALSE)</f>
        <v>1</v>
      </c>
      <c r="N195">
        <f>VLOOKUP(D195,Products!$A:$F,4,FALSE)</f>
        <v>2827</v>
      </c>
      <c r="O195" t="str">
        <f>VLOOKUP(C195,Customers!$A:$F,5,FALSE)</f>
        <v>SMB</v>
      </c>
      <c r="P195">
        <f>VLOOKUP(C195,Customers!$A:$F,3,FALSE)</f>
        <v>46</v>
      </c>
      <c r="Q195" t="str">
        <f>VLOOKUP(E195,Sales_Reps!$A:$E,3,FALSE)</f>
        <v>West</v>
      </c>
      <c r="R195" t="str">
        <f>VLOOKUP(E195,Sales_Reps!$A:$E,2,FALSE)</f>
        <v>Kiran Bhatt</v>
      </c>
      <c r="S195">
        <f t="shared" ref="S195:S258" si="3">IFERROR((G195-N195)/G195,"")</f>
        <v>0.5926512968299712</v>
      </c>
    </row>
    <row r="196" spans="1:19" x14ac:dyDescent="0.3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  <c r="L196" t="str">
        <f>VLOOKUP(D196,Products!$A:$F,3,FALSE)</f>
        <v>Beauty</v>
      </c>
      <c r="M196" t="b">
        <f>VLOOKUP(D196,Products!$A:$F,6,FALSE)</f>
        <v>0</v>
      </c>
      <c r="N196">
        <f>VLOOKUP(D196,Products!$A:$F,4,FALSE)</f>
        <v>647</v>
      </c>
      <c r="O196" t="str">
        <f>VLOOKUP(C196,Customers!$A:$F,5,FALSE)</f>
        <v>Corporate</v>
      </c>
      <c r="P196">
        <f>VLOOKUP(C196,Customers!$A:$F,3,FALSE)</f>
        <v>29</v>
      </c>
      <c r="Q196" t="str">
        <f>VLOOKUP(E196,Sales_Reps!$A:$E,3,FALSE)</f>
        <v>South</v>
      </c>
      <c r="R196" t="str">
        <f>VLOOKUP(E196,Sales_Reps!$A:$E,2,FALSE)</f>
        <v>Pooja Nair</v>
      </c>
      <c r="S196">
        <f t="shared" si="3"/>
        <v>0.57987012987012987</v>
      </c>
    </row>
    <row r="197" spans="1:19" x14ac:dyDescent="0.3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  <c r="L197" t="str">
        <f>VLOOKUP(D197,Products!$A:$F,3,FALSE)</f>
        <v>Apparel</v>
      </c>
      <c r="M197" t="b">
        <f>VLOOKUP(D197,Products!$A:$F,6,FALSE)</f>
        <v>1</v>
      </c>
      <c r="N197">
        <f>VLOOKUP(D197,Products!$A:$F,4,FALSE)</f>
        <v>1173</v>
      </c>
      <c r="O197" t="str">
        <f>VLOOKUP(C197,Customers!$A:$F,5,FALSE)</f>
        <v>Retail</v>
      </c>
      <c r="P197">
        <f>VLOOKUP(C197,Customers!$A:$F,3,FALSE)</f>
        <v>49</v>
      </c>
      <c r="Q197" t="str">
        <f>VLOOKUP(E197,Sales_Reps!$A:$E,3,FALSE)</f>
        <v>West</v>
      </c>
      <c r="R197" t="str">
        <f>VLOOKUP(E197,Sales_Reps!$A:$E,2,FALSE)</f>
        <v>Arun Iyer</v>
      </c>
      <c r="S197">
        <f t="shared" si="3"/>
        <v>0.52701612903225803</v>
      </c>
    </row>
    <row r="198" spans="1:19" x14ac:dyDescent="0.3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  <c r="L198" t="str">
        <f>VLOOKUP(D198,Products!$A:$F,3,FALSE)</f>
        <v>Sports</v>
      </c>
      <c r="M198" t="b">
        <f>VLOOKUP(D198,Products!$A:$F,6,FALSE)</f>
        <v>1</v>
      </c>
      <c r="N198">
        <f>VLOOKUP(D198,Products!$A:$F,4,FALSE)</f>
        <v>147</v>
      </c>
      <c r="O198" t="str">
        <f>VLOOKUP(C198,Customers!$A:$F,5,FALSE)</f>
        <v>Corporate</v>
      </c>
      <c r="P198">
        <f>VLOOKUP(C198,Customers!$A:$F,3,FALSE)</f>
        <v>35</v>
      </c>
      <c r="Q198" t="str">
        <f>VLOOKUP(E198,Sales_Reps!$A:$E,3,FALSE)</f>
        <v>East</v>
      </c>
      <c r="R198" t="str">
        <f>VLOOKUP(E198,Sales_Reps!$A:$E,2,FALSE)</f>
        <v>Nisha Menon</v>
      </c>
      <c r="S198">
        <f t="shared" si="3"/>
        <v>0.22631578947368422</v>
      </c>
    </row>
    <row r="199" spans="1:19" x14ac:dyDescent="0.3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  <c r="L199" t="str">
        <f>VLOOKUP(D199,Products!$A:$F,3,FALSE)</f>
        <v>Sports</v>
      </c>
      <c r="M199" t="b">
        <f>VLOOKUP(D199,Products!$A:$F,6,FALSE)</f>
        <v>1</v>
      </c>
      <c r="N199">
        <f>VLOOKUP(D199,Products!$A:$F,4,FALSE)</f>
        <v>2028</v>
      </c>
      <c r="O199" t="str">
        <f>VLOOKUP(C199,Customers!$A:$F,5,FALSE)</f>
        <v>SMB</v>
      </c>
      <c r="P199">
        <f>VLOOKUP(C199,Customers!$A:$F,3,FALSE)</f>
        <v>55</v>
      </c>
      <c r="Q199" t="str">
        <f>VLOOKUP(E199,Sales_Reps!$A:$E,3,FALSE)</f>
        <v>South</v>
      </c>
      <c r="R199" t="str">
        <f>VLOOKUP(E199,Sales_Reps!$A:$E,2,FALSE)</f>
        <v>Ritu Menon</v>
      </c>
      <c r="S199">
        <f t="shared" si="3"/>
        <v>0.29090909090909089</v>
      </c>
    </row>
    <row r="200" spans="1:19" x14ac:dyDescent="0.3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  <c r="L200" t="str">
        <f>VLOOKUP(D200,Products!$A:$F,3,FALSE)</f>
        <v>Apparel</v>
      </c>
      <c r="M200" t="b">
        <f>VLOOKUP(D200,Products!$A:$F,6,FALSE)</f>
        <v>0</v>
      </c>
      <c r="N200">
        <f>VLOOKUP(D200,Products!$A:$F,4,FALSE)</f>
        <v>1075</v>
      </c>
      <c r="O200" t="str">
        <f>VLOOKUP(C200,Customers!$A:$F,5,FALSE)</f>
        <v>Corporate</v>
      </c>
      <c r="P200">
        <f>VLOOKUP(C200,Customers!$A:$F,3,FALSE)</f>
        <v>55</v>
      </c>
      <c r="Q200" t="str">
        <f>VLOOKUP(E200,Sales_Reps!$A:$E,3,FALSE)</f>
        <v>South</v>
      </c>
      <c r="R200" t="str">
        <f>VLOOKUP(E200,Sales_Reps!$A:$E,2,FALSE)</f>
        <v>Deepak Shah</v>
      </c>
      <c r="S200">
        <f t="shared" si="3"/>
        <v>0.57171314741035861</v>
      </c>
    </row>
    <row r="201" spans="1:19" x14ac:dyDescent="0.3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  <c r="L201" t="str">
        <f>VLOOKUP(D201,Products!$A:$F,3,FALSE)</f>
        <v>Electronics</v>
      </c>
      <c r="M201" t="b">
        <f>VLOOKUP(D201,Products!$A:$F,6,FALSE)</f>
        <v>1</v>
      </c>
      <c r="N201">
        <f>VLOOKUP(D201,Products!$A:$F,4,FALSE)</f>
        <v>1665</v>
      </c>
      <c r="O201" t="str">
        <f>VLOOKUP(C201,Customers!$A:$F,5,FALSE)</f>
        <v>Retail</v>
      </c>
      <c r="P201">
        <f>VLOOKUP(C201,Customers!$A:$F,3,FALSE)</f>
        <v>23</v>
      </c>
      <c r="Q201" t="str">
        <f>VLOOKUP(E201,Sales_Reps!$A:$E,3,FALSE)</f>
        <v>North</v>
      </c>
      <c r="R201" t="str">
        <f>VLOOKUP(E201,Sales_Reps!$A:$E,2,FALSE)</f>
        <v>Amit Singh</v>
      </c>
      <c r="S201">
        <f t="shared" si="3"/>
        <v>0.53361344537815125</v>
      </c>
    </row>
    <row r="202" spans="1:19" x14ac:dyDescent="0.3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  <c r="L202" t="str">
        <f>VLOOKUP(D202,Products!$A:$F,3,FALSE)</f>
        <v>Home</v>
      </c>
      <c r="M202" t="b">
        <f>VLOOKUP(D202,Products!$A:$F,6,FALSE)</f>
        <v>1</v>
      </c>
      <c r="N202">
        <f>VLOOKUP(D202,Products!$A:$F,4,FALSE)</f>
        <v>2135</v>
      </c>
      <c r="O202" t="str">
        <f>VLOOKUP(C202,Customers!$A:$F,5,FALSE)</f>
        <v>Retail</v>
      </c>
      <c r="P202">
        <f>VLOOKUP(C202,Customers!$A:$F,3,FALSE)</f>
        <v>59</v>
      </c>
      <c r="Q202" t="str">
        <f>VLOOKUP(E202,Sales_Reps!$A:$E,3,FALSE)</f>
        <v>South</v>
      </c>
      <c r="R202" t="str">
        <f>VLOOKUP(E202,Sales_Reps!$A:$E,2,FALSE)</f>
        <v>Anjali Chopra</v>
      </c>
      <c r="S202">
        <f t="shared" si="3"/>
        <v>0.42761394101876676</v>
      </c>
    </row>
    <row r="203" spans="1:19" x14ac:dyDescent="0.3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  <c r="L203" t="str">
        <f>VLOOKUP(D203,Products!$A:$F,3,FALSE)</f>
        <v>Home</v>
      </c>
      <c r="M203" t="b">
        <f>VLOOKUP(D203,Products!$A:$F,6,FALSE)</f>
        <v>1</v>
      </c>
      <c r="N203">
        <f>VLOOKUP(D203,Products!$A:$F,4,FALSE)</f>
        <v>288</v>
      </c>
      <c r="O203" t="str">
        <f>VLOOKUP(C203,Customers!$A:$F,5,FALSE)</f>
        <v>Retail</v>
      </c>
      <c r="P203">
        <f>VLOOKUP(C203,Customers!$A:$F,3,FALSE)</f>
        <v>44</v>
      </c>
      <c r="Q203" t="str">
        <f>VLOOKUP(E203,Sales_Reps!$A:$E,3,FALSE)</f>
        <v>West</v>
      </c>
      <c r="R203" t="str">
        <f>VLOOKUP(E203,Sales_Reps!$A:$E,2,FALSE)</f>
        <v>Kiran Bhatt</v>
      </c>
      <c r="S203">
        <f t="shared" si="3"/>
        <v>0.22162162162162163</v>
      </c>
    </row>
    <row r="204" spans="1:19" x14ac:dyDescent="0.3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  <c r="L204" t="str">
        <f>VLOOKUP(D204,Products!$A:$F,3,FALSE)</f>
        <v>Electronics</v>
      </c>
      <c r="M204" t="b">
        <f>VLOOKUP(D204,Products!$A:$F,6,FALSE)</f>
        <v>0</v>
      </c>
      <c r="N204">
        <f>VLOOKUP(D204,Products!$A:$F,4,FALSE)</f>
        <v>1259</v>
      </c>
      <c r="O204" t="str">
        <f>VLOOKUP(C204,Customers!$A:$F,5,FALSE)</f>
        <v>Retail</v>
      </c>
      <c r="P204">
        <f>VLOOKUP(C204,Customers!$A:$F,3,FALSE)</f>
        <v>45</v>
      </c>
      <c r="Q204" t="str">
        <f>VLOOKUP(E204,Sales_Reps!$A:$E,3,FALSE)</f>
        <v>South</v>
      </c>
      <c r="R204" t="str">
        <f>VLOOKUP(E204,Sales_Reps!$A:$E,2,FALSE)</f>
        <v>Ritu Menon</v>
      </c>
      <c r="S204">
        <f t="shared" si="3"/>
        <v>0.52669172932330832</v>
      </c>
    </row>
    <row r="205" spans="1:19" x14ac:dyDescent="0.3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  <c r="L205" t="str">
        <f>VLOOKUP(D205,Products!$A:$F,3,FALSE)</f>
        <v>Grocery</v>
      </c>
      <c r="M205" t="b">
        <f>VLOOKUP(D205,Products!$A:$F,6,FALSE)</f>
        <v>1</v>
      </c>
      <c r="N205">
        <f>VLOOKUP(D205,Products!$A:$F,4,FALSE)</f>
        <v>1435</v>
      </c>
      <c r="O205" t="str">
        <f>VLOOKUP(C205,Customers!$A:$F,5,FALSE)</f>
        <v>Retail</v>
      </c>
      <c r="P205">
        <f>VLOOKUP(C205,Customers!$A:$F,3,FALSE)</f>
        <v>23</v>
      </c>
      <c r="Q205" t="str">
        <f>VLOOKUP(E205,Sales_Reps!$A:$E,3,FALSE)</f>
        <v>South</v>
      </c>
      <c r="R205" t="str">
        <f>VLOOKUP(E205,Sales_Reps!$A:$E,2,FALSE)</f>
        <v>Deepak Shah</v>
      </c>
      <c r="S205">
        <f t="shared" si="3"/>
        <v>0.48007246376811596</v>
      </c>
    </row>
    <row r="206" spans="1:19" x14ac:dyDescent="0.3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  <c r="L206" t="str">
        <f>VLOOKUP(D206,Products!$A:$F,3,FALSE)</f>
        <v>Beauty</v>
      </c>
      <c r="M206" t="b">
        <f>VLOOKUP(D206,Products!$A:$F,6,FALSE)</f>
        <v>1</v>
      </c>
      <c r="N206">
        <f>VLOOKUP(D206,Products!$A:$F,4,FALSE)</f>
        <v>1728</v>
      </c>
      <c r="O206" t="str">
        <f>VLOOKUP(C206,Customers!$A:$F,5,FALSE)</f>
        <v>SMB</v>
      </c>
      <c r="P206">
        <f>VLOOKUP(C206,Customers!$A:$F,3,FALSE)</f>
        <v>48</v>
      </c>
      <c r="Q206" t="str">
        <f>VLOOKUP(E206,Sales_Reps!$A:$E,3,FALSE)</f>
        <v>South</v>
      </c>
      <c r="R206" t="str">
        <f>VLOOKUP(E206,Sales_Reps!$A:$E,2,FALSE)</f>
        <v>Manoj Patel</v>
      </c>
      <c r="S206">
        <f t="shared" si="3"/>
        <v>0.48417910447761192</v>
      </c>
    </row>
    <row r="207" spans="1:19" x14ac:dyDescent="0.3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  <c r="L207" t="str">
        <f>VLOOKUP(D207,Products!$A:$F,3,FALSE)</f>
        <v>Electronics</v>
      </c>
      <c r="M207" t="b">
        <f>VLOOKUP(D207,Products!$A:$F,6,FALSE)</f>
        <v>1</v>
      </c>
      <c r="N207">
        <f>VLOOKUP(D207,Products!$A:$F,4,FALSE)</f>
        <v>128</v>
      </c>
      <c r="O207" t="str">
        <f>VLOOKUP(C207,Customers!$A:$F,5,FALSE)</f>
        <v>SMB</v>
      </c>
      <c r="P207">
        <f>VLOOKUP(C207,Customers!$A:$F,3,FALSE)</f>
        <v>30</v>
      </c>
      <c r="Q207" t="str">
        <f>VLOOKUP(E207,Sales_Reps!$A:$E,3,FALSE)</f>
        <v>East</v>
      </c>
      <c r="R207" t="str">
        <f>VLOOKUP(E207,Sales_Reps!$A:$E,2,FALSE)</f>
        <v>Naveen Singh</v>
      </c>
      <c r="S207">
        <f t="shared" si="3"/>
        <v>0.57333333333333336</v>
      </c>
    </row>
    <row r="208" spans="1:19" x14ac:dyDescent="0.3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  <c r="L208" t="str">
        <f>VLOOKUP(D208,Products!$A:$F,3,FALSE)</f>
        <v>Apparel</v>
      </c>
      <c r="M208" t="b">
        <f>VLOOKUP(D208,Products!$A:$F,6,FALSE)</f>
        <v>1</v>
      </c>
      <c r="N208">
        <f>VLOOKUP(D208,Products!$A:$F,4,FALSE)</f>
        <v>1962</v>
      </c>
      <c r="O208" t="str">
        <f>VLOOKUP(C208,Customers!$A:$F,5,FALSE)</f>
        <v>Retail</v>
      </c>
      <c r="P208">
        <f>VLOOKUP(C208,Customers!$A:$F,3,FALSE)</f>
        <v>44</v>
      </c>
      <c r="Q208" t="str">
        <f>VLOOKUP(E208,Sales_Reps!$A:$E,3,FALSE)</f>
        <v>North</v>
      </c>
      <c r="R208" t="str">
        <f>VLOOKUP(E208,Sales_Reps!$A:$E,2,FALSE)</f>
        <v>Sunita Malhotra</v>
      </c>
      <c r="S208">
        <f t="shared" si="3"/>
        <v>0.2786764705882353</v>
      </c>
    </row>
    <row r="209" spans="1:19" x14ac:dyDescent="0.3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  <c r="L209" t="str">
        <f>VLOOKUP(D209,Products!$A:$F,3,FALSE)</f>
        <v>Electronics</v>
      </c>
      <c r="M209" t="b">
        <f>VLOOKUP(D209,Products!$A:$F,6,FALSE)</f>
        <v>1</v>
      </c>
      <c r="N209">
        <f>VLOOKUP(D209,Products!$A:$F,4,FALSE)</f>
        <v>1559</v>
      </c>
      <c r="O209" t="str">
        <f>VLOOKUP(C209,Customers!$A:$F,5,FALSE)</f>
        <v>SMB</v>
      </c>
      <c r="P209">
        <f>VLOOKUP(C209,Customers!$A:$F,3,FALSE)</f>
        <v>48</v>
      </c>
      <c r="Q209" t="str">
        <f>VLOOKUP(E209,Sales_Reps!$A:$E,3,FALSE)</f>
        <v>South</v>
      </c>
      <c r="R209" t="str">
        <f>VLOOKUP(E209,Sales_Reps!$A:$E,2,FALSE)</f>
        <v>Deepak Shah</v>
      </c>
      <c r="S209">
        <f t="shared" si="3"/>
        <v>0.59715762273901807</v>
      </c>
    </row>
    <row r="210" spans="1:19" x14ac:dyDescent="0.3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  <c r="L210" t="str">
        <f>VLOOKUP(D210,Products!$A:$F,3,FALSE)</f>
        <v>Home</v>
      </c>
      <c r="M210" t="b">
        <f>VLOOKUP(D210,Products!$A:$F,6,FALSE)</f>
        <v>1</v>
      </c>
      <c r="N210">
        <f>VLOOKUP(D210,Products!$A:$F,4,FALSE)</f>
        <v>2135</v>
      </c>
      <c r="O210" t="str">
        <f>VLOOKUP(C210,Customers!$A:$F,5,FALSE)</f>
        <v>Retail</v>
      </c>
      <c r="P210">
        <f>VLOOKUP(C210,Customers!$A:$F,3,FALSE)</f>
        <v>38</v>
      </c>
      <c r="Q210" t="str">
        <f>VLOOKUP(E210,Sales_Reps!$A:$E,3,FALSE)</f>
        <v>South</v>
      </c>
      <c r="R210" t="str">
        <f>VLOOKUP(E210,Sales_Reps!$A:$E,2,FALSE)</f>
        <v>Pooja Nair</v>
      </c>
      <c r="S210">
        <f t="shared" si="3"/>
        <v>0.42761394101876676</v>
      </c>
    </row>
    <row r="211" spans="1:19" x14ac:dyDescent="0.3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  <c r="L211" t="str">
        <f>VLOOKUP(D211,Products!$A:$F,3,FALSE)</f>
        <v>Apparel</v>
      </c>
      <c r="M211" t="b">
        <f>VLOOKUP(D211,Products!$A:$F,6,FALSE)</f>
        <v>1</v>
      </c>
      <c r="N211">
        <f>VLOOKUP(D211,Products!$A:$F,4,FALSE)</f>
        <v>1173</v>
      </c>
      <c r="O211" t="str">
        <f>VLOOKUP(C211,Customers!$A:$F,5,FALSE)</f>
        <v>Corporate</v>
      </c>
      <c r="P211">
        <f>VLOOKUP(C211,Customers!$A:$F,3,FALSE)</f>
        <v>34</v>
      </c>
      <c r="Q211" t="str">
        <f>VLOOKUP(E211,Sales_Reps!$A:$E,3,FALSE)</f>
        <v>South</v>
      </c>
      <c r="R211" t="str">
        <f>VLOOKUP(E211,Sales_Reps!$A:$E,2,FALSE)</f>
        <v>Pooja Nair</v>
      </c>
      <c r="S211">
        <f t="shared" si="3"/>
        <v>0.52701612903225803</v>
      </c>
    </row>
    <row r="212" spans="1:19" x14ac:dyDescent="0.3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  <c r="L212" t="str">
        <f>VLOOKUP(D212,Products!$A:$F,3,FALSE)</f>
        <v>Sports</v>
      </c>
      <c r="M212" t="b">
        <f>VLOOKUP(D212,Products!$A:$F,6,FALSE)</f>
        <v>1</v>
      </c>
      <c r="N212">
        <f>VLOOKUP(D212,Products!$A:$F,4,FALSE)</f>
        <v>705</v>
      </c>
      <c r="O212" t="str">
        <f>VLOOKUP(C212,Customers!$A:$F,5,FALSE)</f>
        <v>Retail</v>
      </c>
      <c r="P212">
        <f>VLOOKUP(C212,Customers!$A:$F,3,FALSE)</f>
        <v>44</v>
      </c>
      <c r="Q212" t="str">
        <f>VLOOKUP(E212,Sales_Reps!$A:$E,3,FALSE)</f>
        <v>East</v>
      </c>
      <c r="R212" t="str">
        <f>VLOOKUP(E212,Sales_Reps!$A:$E,2,FALSE)</f>
        <v>Prakash Shah</v>
      </c>
      <c r="S212">
        <f t="shared" si="3"/>
        <v>0.265625</v>
      </c>
    </row>
    <row r="213" spans="1:19" x14ac:dyDescent="0.3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  <c r="L213" t="str">
        <f>VLOOKUP(D213,Products!$A:$F,3,FALSE)</f>
        <v>Beauty</v>
      </c>
      <c r="M213" t="b">
        <f>VLOOKUP(D213,Products!$A:$F,6,FALSE)</f>
        <v>1</v>
      </c>
      <c r="N213">
        <f>VLOOKUP(D213,Products!$A:$F,4,FALSE)</f>
        <v>2768</v>
      </c>
      <c r="O213" t="str">
        <f>VLOOKUP(C213,Customers!$A:$F,5,FALSE)</f>
        <v>Retail</v>
      </c>
      <c r="P213">
        <f>VLOOKUP(C213,Customers!$A:$F,3,FALSE)</f>
        <v>25</v>
      </c>
      <c r="Q213" t="str">
        <f>VLOOKUP(E213,Sales_Reps!$A:$E,3,FALSE)</f>
        <v>East</v>
      </c>
      <c r="R213" t="str">
        <f>VLOOKUP(E213,Sales_Reps!$A:$E,2,FALSE)</f>
        <v>Shalini Patel</v>
      </c>
      <c r="S213">
        <f t="shared" si="3"/>
        <v>0.43278688524590164</v>
      </c>
    </row>
    <row r="214" spans="1:19" x14ac:dyDescent="0.3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  <c r="L214" t="str">
        <f>VLOOKUP(D214,Products!$A:$F,3,FALSE)</f>
        <v>Apparel</v>
      </c>
      <c r="M214" t="b">
        <f>VLOOKUP(D214,Products!$A:$F,6,FALSE)</f>
        <v>1</v>
      </c>
      <c r="N214">
        <f>VLOOKUP(D214,Products!$A:$F,4,FALSE)</f>
        <v>2509</v>
      </c>
      <c r="O214" t="str">
        <f>VLOOKUP(C214,Customers!$A:$F,5,FALSE)</f>
        <v>SMB</v>
      </c>
      <c r="P214">
        <f>VLOOKUP(C214,Customers!$A:$F,3,FALSE)</f>
        <v>29</v>
      </c>
      <c r="Q214" t="str">
        <f>VLOOKUP(E214,Sales_Reps!$A:$E,3,FALSE)</f>
        <v>West</v>
      </c>
      <c r="R214" t="str">
        <f>VLOOKUP(E214,Sales_Reps!$A:$E,2,FALSE)</f>
        <v>Kiran Bhatt</v>
      </c>
      <c r="S214">
        <f t="shared" si="3"/>
        <v>0.3069060773480663</v>
      </c>
    </row>
    <row r="215" spans="1:19" x14ac:dyDescent="0.3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  <c r="L215" t="str">
        <f>VLOOKUP(D215,Products!$A:$F,3,FALSE)</f>
        <v>Electronics</v>
      </c>
      <c r="M215" t="b">
        <f>VLOOKUP(D215,Products!$A:$F,6,FALSE)</f>
        <v>1</v>
      </c>
      <c r="N215">
        <f>VLOOKUP(D215,Products!$A:$F,4,FALSE)</f>
        <v>2865</v>
      </c>
      <c r="O215" t="str">
        <f>VLOOKUP(C215,Customers!$A:$F,5,FALSE)</f>
        <v>Retail</v>
      </c>
      <c r="P215">
        <f>VLOOKUP(C215,Customers!$A:$F,3,FALSE)</f>
        <v>35</v>
      </c>
      <c r="Q215" t="str">
        <f>VLOOKUP(E215,Sales_Reps!$A:$E,3,FALSE)</f>
        <v>North</v>
      </c>
      <c r="R215" t="str">
        <f>VLOOKUP(E215,Sales_Reps!$A:$E,2,FALSE)</f>
        <v>Kavita Patel</v>
      </c>
      <c r="S215">
        <f t="shared" si="3"/>
        <v>0.27833753148614609</v>
      </c>
    </row>
    <row r="216" spans="1:19" x14ac:dyDescent="0.3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  <c r="L216" t="str">
        <f>VLOOKUP(D216,Products!$A:$F,3,FALSE)</f>
        <v>Grocery</v>
      </c>
      <c r="M216" t="b">
        <f>VLOOKUP(D216,Products!$A:$F,6,FALSE)</f>
        <v>1</v>
      </c>
      <c r="N216">
        <f>VLOOKUP(D216,Products!$A:$F,4,FALSE)</f>
        <v>1412</v>
      </c>
      <c r="O216" t="str">
        <f>VLOOKUP(C216,Customers!$A:$F,5,FALSE)</f>
        <v>Retail</v>
      </c>
      <c r="P216">
        <f>VLOOKUP(C216,Customers!$A:$F,3,FALSE)</f>
        <v>32</v>
      </c>
      <c r="Q216" t="str">
        <f>VLOOKUP(E216,Sales_Reps!$A:$E,3,FALSE)</f>
        <v>West</v>
      </c>
      <c r="R216" t="str">
        <f>VLOOKUP(E216,Sales_Reps!$A:$E,2,FALSE)</f>
        <v>Sonia Malhotra</v>
      </c>
      <c r="S216">
        <f t="shared" si="3"/>
        <v>0.37797356828193834</v>
      </c>
    </row>
    <row r="217" spans="1:19" x14ac:dyDescent="0.3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  <c r="L217" t="str">
        <f>VLOOKUP(D217,Products!$A:$F,3,FALSE)</f>
        <v>Grocery</v>
      </c>
      <c r="M217" t="b">
        <f>VLOOKUP(D217,Products!$A:$F,6,FALSE)</f>
        <v>1</v>
      </c>
      <c r="N217">
        <f>VLOOKUP(D217,Products!$A:$F,4,FALSE)</f>
        <v>2436</v>
      </c>
      <c r="O217" t="str">
        <f>VLOOKUP(C217,Customers!$A:$F,5,FALSE)</f>
        <v>Corporate</v>
      </c>
      <c r="P217">
        <f>VLOOKUP(C217,Customers!$A:$F,3,FALSE)</f>
        <v>55</v>
      </c>
      <c r="Q217" t="str">
        <f>VLOOKUP(E217,Sales_Reps!$A:$E,3,FALSE)</f>
        <v>South</v>
      </c>
      <c r="R217" t="str">
        <f>VLOOKUP(E217,Sales_Reps!$A:$E,2,FALSE)</f>
        <v>Sanjay Kapoor</v>
      </c>
      <c r="S217">
        <f t="shared" si="3"/>
        <v>0.35555555555555557</v>
      </c>
    </row>
    <row r="218" spans="1:19" x14ac:dyDescent="0.3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  <c r="L218" t="str">
        <f>VLOOKUP(D218,Products!$A:$F,3,FALSE)</f>
        <v>Grocery</v>
      </c>
      <c r="M218" t="b">
        <f>VLOOKUP(D218,Products!$A:$F,6,FALSE)</f>
        <v>1</v>
      </c>
      <c r="N218">
        <f>VLOOKUP(D218,Products!$A:$F,4,FALSE)</f>
        <v>2027</v>
      </c>
      <c r="O218" t="str">
        <f>VLOOKUP(C218,Customers!$A:$F,5,FALSE)</f>
        <v>Corporate</v>
      </c>
      <c r="P218">
        <f>VLOOKUP(C218,Customers!$A:$F,3,FALSE)</f>
        <v>60</v>
      </c>
      <c r="Q218" t="str">
        <f>VLOOKUP(E218,Sales_Reps!$A:$E,3,FALSE)</f>
        <v>East</v>
      </c>
      <c r="R218" t="str">
        <f>VLOOKUP(E218,Sales_Reps!$A:$E,2,FALSE)</f>
        <v>Nisha Menon</v>
      </c>
      <c r="S218">
        <f t="shared" si="3"/>
        <v>0.50196560196560192</v>
      </c>
    </row>
    <row r="219" spans="1:19" x14ac:dyDescent="0.3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  <c r="L219" t="str">
        <f>VLOOKUP(D219,Products!$A:$F,3,FALSE)</f>
        <v>Electronics</v>
      </c>
      <c r="M219" t="b">
        <f>VLOOKUP(D219,Products!$A:$F,6,FALSE)</f>
        <v>0</v>
      </c>
      <c r="N219">
        <f>VLOOKUP(D219,Products!$A:$F,4,FALSE)</f>
        <v>1259</v>
      </c>
      <c r="O219" t="str">
        <f>VLOOKUP(C219,Customers!$A:$F,5,FALSE)</f>
        <v>Retail</v>
      </c>
      <c r="P219">
        <f>VLOOKUP(C219,Customers!$A:$F,3,FALSE)</f>
        <v>65</v>
      </c>
      <c r="Q219" t="str">
        <f>VLOOKUP(E219,Sales_Reps!$A:$E,3,FALSE)</f>
        <v>North</v>
      </c>
      <c r="R219" t="str">
        <f>VLOOKUP(E219,Sales_Reps!$A:$E,2,FALSE)</f>
        <v>Neha Desai</v>
      </c>
      <c r="S219">
        <f t="shared" si="3"/>
        <v>0.52669172932330832</v>
      </c>
    </row>
    <row r="220" spans="1:19" x14ac:dyDescent="0.3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  <c r="L220" t="str">
        <f>VLOOKUP(D220,Products!$A:$F,3,FALSE)</f>
        <v>Electronics</v>
      </c>
      <c r="M220" t="b">
        <f>VLOOKUP(D220,Products!$A:$F,6,FALSE)</f>
        <v>1</v>
      </c>
      <c r="N220">
        <f>VLOOKUP(D220,Products!$A:$F,4,FALSE)</f>
        <v>1665</v>
      </c>
      <c r="O220" t="str">
        <f>VLOOKUP(C220,Customers!$A:$F,5,FALSE)</f>
        <v>Retail</v>
      </c>
      <c r="P220">
        <f>VLOOKUP(C220,Customers!$A:$F,3,FALSE)</f>
        <v>37</v>
      </c>
      <c r="Q220" t="str">
        <f>VLOOKUP(E220,Sales_Reps!$A:$E,3,FALSE)</f>
        <v>North</v>
      </c>
      <c r="R220" t="str">
        <f>VLOOKUP(E220,Sales_Reps!$A:$E,2,FALSE)</f>
        <v>Priya Singh</v>
      </c>
      <c r="S220">
        <f t="shared" si="3"/>
        <v>0.53361344537815125</v>
      </c>
    </row>
    <row r="221" spans="1:19" x14ac:dyDescent="0.3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  <c r="L221" t="str">
        <f>VLOOKUP(D221,Products!$A:$F,3,FALSE)</f>
        <v>Beauty</v>
      </c>
      <c r="M221" t="b">
        <f>VLOOKUP(D221,Products!$A:$F,6,FALSE)</f>
        <v>1</v>
      </c>
      <c r="N221">
        <f>VLOOKUP(D221,Products!$A:$F,4,FALSE)</f>
        <v>675</v>
      </c>
      <c r="O221" t="str">
        <f>VLOOKUP(C221,Customers!$A:$F,5,FALSE)</f>
        <v>Retail</v>
      </c>
      <c r="P221">
        <f>VLOOKUP(C221,Customers!$A:$F,3,FALSE)</f>
        <v>65</v>
      </c>
      <c r="Q221" t="str">
        <f>VLOOKUP(E221,Sales_Reps!$A:$E,3,FALSE)</f>
        <v>North</v>
      </c>
      <c r="R221" t="str">
        <f>VLOOKUP(E221,Sales_Reps!$A:$E,2,FALSE)</f>
        <v>Rajesh Malhotra</v>
      </c>
      <c r="S221">
        <f t="shared" si="3"/>
        <v>0.296875</v>
      </c>
    </row>
    <row r="222" spans="1:19" x14ac:dyDescent="0.3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  <c r="L222" t="str">
        <f>VLOOKUP(D222,Products!$A:$F,3,FALSE)</f>
        <v>Beauty</v>
      </c>
      <c r="M222" t="b">
        <f>VLOOKUP(D222,Products!$A:$F,6,FALSE)</f>
        <v>1</v>
      </c>
      <c r="N222">
        <f>VLOOKUP(D222,Products!$A:$F,4,FALSE)</f>
        <v>2420</v>
      </c>
      <c r="O222" t="str">
        <f>VLOOKUP(C222,Customers!$A:$F,5,FALSE)</f>
        <v>Retail</v>
      </c>
      <c r="P222">
        <f>VLOOKUP(C222,Customers!$A:$F,3,FALSE)</f>
        <v>62</v>
      </c>
      <c r="Q222" t="str">
        <f>VLOOKUP(E222,Sales_Reps!$A:$E,3,FALSE)</f>
        <v>East</v>
      </c>
      <c r="R222" t="str">
        <f>VLOOKUP(E222,Sales_Reps!$A:$E,2,FALSE)</f>
        <v>Shalini Patel</v>
      </c>
      <c r="S222">
        <f t="shared" si="3"/>
        <v>0.29855072463768118</v>
      </c>
    </row>
    <row r="223" spans="1:19" x14ac:dyDescent="0.3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  <c r="L223" t="str">
        <f>VLOOKUP(D223,Products!$A:$F,3,FALSE)</f>
        <v>Beauty</v>
      </c>
      <c r="M223" t="b">
        <f>VLOOKUP(D223,Products!$A:$F,6,FALSE)</f>
        <v>1</v>
      </c>
      <c r="N223">
        <f>VLOOKUP(D223,Products!$A:$F,4,FALSE)</f>
        <v>2237</v>
      </c>
      <c r="O223" t="str">
        <f>VLOOKUP(C223,Customers!$A:$F,5,FALSE)</f>
        <v>SMB</v>
      </c>
      <c r="P223">
        <f>VLOOKUP(C223,Customers!$A:$F,3,FALSE)</f>
        <v>43</v>
      </c>
      <c r="Q223" t="str">
        <f>VLOOKUP(E223,Sales_Reps!$A:$E,3,FALSE)</f>
        <v>North</v>
      </c>
      <c r="R223" t="str">
        <f>VLOOKUP(E223,Sales_Reps!$A:$E,2,FALSE)</f>
        <v>Suresh Menon</v>
      </c>
      <c r="S223">
        <f t="shared" si="3"/>
        <v>0.56137254901960787</v>
      </c>
    </row>
    <row r="224" spans="1:19" x14ac:dyDescent="0.3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  <c r="L224" t="str">
        <f>VLOOKUP(D224,Products!$A:$F,3,FALSE)</f>
        <v>Electronics</v>
      </c>
      <c r="M224" t="b">
        <f>VLOOKUP(D224,Products!$A:$F,6,FALSE)</f>
        <v>1</v>
      </c>
      <c r="N224">
        <f>VLOOKUP(D224,Products!$A:$F,4,FALSE)</f>
        <v>128</v>
      </c>
      <c r="O224" t="str">
        <f>VLOOKUP(C224,Customers!$A:$F,5,FALSE)</f>
        <v>SMB</v>
      </c>
      <c r="P224">
        <f>VLOOKUP(C224,Customers!$A:$F,3,FALSE)</f>
        <v>24</v>
      </c>
      <c r="Q224" t="str">
        <f>VLOOKUP(E224,Sales_Reps!$A:$E,3,FALSE)</f>
        <v>North</v>
      </c>
      <c r="R224" t="str">
        <f>VLOOKUP(E224,Sales_Reps!$A:$E,2,FALSE)</f>
        <v>Vikram Patel</v>
      </c>
      <c r="S224">
        <f t="shared" si="3"/>
        <v>0.57333333333333336</v>
      </c>
    </row>
    <row r="225" spans="1:19" x14ac:dyDescent="0.3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  <c r="L225" t="str">
        <f>VLOOKUP(D225,Products!$A:$F,3,FALSE)</f>
        <v>Beauty</v>
      </c>
      <c r="M225" t="b">
        <f>VLOOKUP(D225,Products!$A:$F,6,FALSE)</f>
        <v>1</v>
      </c>
      <c r="N225">
        <f>VLOOKUP(D225,Products!$A:$F,4,FALSE)</f>
        <v>2768</v>
      </c>
      <c r="O225" t="str">
        <f>VLOOKUP(C225,Customers!$A:$F,5,FALSE)</f>
        <v>SMB</v>
      </c>
      <c r="P225">
        <f>VLOOKUP(C225,Customers!$A:$F,3,FALSE)</f>
        <v>61</v>
      </c>
      <c r="Q225" t="str">
        <f>VLOOKUP(E225,Sales_Reps!$A:$E,3,FALSE)</f>
        <v>East</v>
      </c>
      <c r="R225" t="str">
        <f>VLOOKUP(E225,Sales_Reps!$A:$E,2,FALSE)</f>
        <v>Meera Iyer</v>
      </c>
      <c r="S225">
        <f t="shared" si="3"/>
        <v>0.43278688524590164</v>
      </c>
    </row>
    <row r="226" spans="1:19" x14ac:dyDescent="0.3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  <c r="L226" t="str">
        <f>VLOOKUP(D226,Products!$A:$F,3,FALSE)</f>
        <v>Home</v>
      </c>
      <c r="M226" t="b">
        <f>VLOOKUP(D226,Products!$A:$F,6,FALSE)</f>
        <v>1</v>
      </c>
      <c r="N226">
        <f>VLOOKUP(D226,Products!$A:$F,4,FALSE)</f>
        <v>1556</v>
      </c>
      <c r="O226" t="str">
        <f>VLOOKUP(C226,Customers!$A:$F,5,FALSE)</f>
        <v>Corporate</v>
      </c>
      <c r="P226">
        <f>VLOOKUP(C226,Customers!$A:$F,3,FALSE)</f>
        <v>41</v>
      </c>
      <c r="Q226" t="str">
        <f>VLOOKUP(E226,Sales_Reps!$A:$E,3,FALSE)</f>
        <v>East</v>
      </c>
      <c r="R226" t="str">
        <f>VLOOKUP(E226,Sales_Reps!$A:$E,2,FALSE)</f>
        <v>Vinod Kumar</v>
      </c>
      <c r="S226">
        <f t="shared" si="3"/>
        <v>0.52123076923076928</v>
      </c>
    </row>
    <row r="227" spans="1:19" x14ac:dyDescent="0.3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  <c r="L227" t="str">
        <f>VLOOKUP(D227,Products!$A:$F,3,FALSE)</f>
        <v>Beauty</v>
      </c>
      <c r="M227" t="b">
        <f>VLOOKUP(D227,Products!$A:$F,6,FALSE)</f>
        <v>1</v>
      </c>
      <c r="N227">
        <f>VLOOKUP(D227,Products!$A:$F,4,FALSE)</f>
        <v>2420</v>
      </c>
      <c r="O227" t="str">
        <f>VLOOKUP(C227,Customers!$A:$F,5,FALSE)</f>
        <v>Retail</v>
      </c>
      <c r="P227">
        <f>VLOOKUP(C227,Customers!$A:$F,3,FALSE)</f>
        <v>65</v>
      </c>
      <c r="Q227" t="str">
        <f>VLOOKUP(E227,Sales_Reps!$A:$E,3,FALSE)</f>
        <v>North</v>
      </c>
      <c r="R227" t="str">
        <f>VLOOKUP(E227,Sales_Reps!$A:$E,2,FALSE)</f>
        <v>Neha Desai</v>
      </c>
      <c r="S227">
        <f t="shared" si="3"/>
        <v>0.29855072463768118</v>
      </c>
    </row>
    <row r="228" spans="1:19" x14ac:dyDescent="0.3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  <c r="L228" t="str">
        <f>VLOOKUP(D228,Products!$A:$F,3,FALSE)</f>
        <v>Beauty</v>
      </c>
      <c r="M228" t="b">
        <f>VLOOKUP(D228,Products!$A:$F,6,FALSE)</f>
        <v>1</v>
      </c>
      <c r="N228">
        <f>VLOOKUP(D228,Products!$A:$F,4,FALSE)</f>
        <v>2617</v>
      </c>
      <c r="O228" t="str">
        <f>VLOOKUP(C228,Customers!$A:$F,5,FALSE)</f>
        <v>Corporate</v>
      </c>
      <c r="P228">
        <f>VLOOKUP(C228,Customers!$A:$F,3,FALSE)</f>
        <v>47</v>
      </c>
      <c r="Q228" t="str">
        <f>VLOOKUP(E228,Sales_Reps!$A:$E,3,FALSE)</f>
        <v>East</v>
      </c>
      <c r="R228" t="str">
        <f>VLOOKUP(E228,Sales_Reps!$A:$E,2,FALSE)</f>
        <v>Gaurav Desai</v>
      </c>
      <c r="S228">
        <f t="shared" si="3"/>
        <v>0.56957236842105263</v>
      </c>
    </row>
    <row r="229" spans="1:19" x14ac:dyDescent="0.3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  <c r="L229" t="str">
        <f>VLOOKUP(D229,Products!$A:$F,3,FALSE)</f>
        <v>Beauty</v>
      </c>
      <c r="M229" t="b">
        <f>VLOOKUP(D229,Products!$A:$F,6,FALSE)</f>
        <v>1</v>
      </c>
      <c r="N229">
        <f>VLOOKUP(D229,Products!$A:$F,4,FALSE)</f>
        <v>2617</v>
      </c>
      <c r="O229" t="str">
        <f>VLOOKUP(C229,Customers!$A:$F,5,FALSE)</f>
        <v>SMB</v>
      </c>
      <c r="P229">
        <f>VLOOKUP(C229,Customers!$A:$F,3,FALSE)</f>
        <v>30</v>
      </c>
      <c r="Q229" t="str">
        <f>VLOOKUP(E229,Sales_Reps!$A:$E,3,FALSE)</f>
        <v>East</v>
      </c>
      <c r="R229" t="str">
        <f>VLOOKUP(E229,Sales_Reps!$A:$E,2,FALSE)</f>
        <v>Nisha Menon</v>
      </c>
      <c r="S229">
        <f t="shared" si="3"/>
        <v>0.56957236842105263</v>
      </c>
    </row>
    <row r="230" spans="1:19" x14ac:dyDescent="0.3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  <c r="L230" t="str">
        <f>VLOOKUP(D230,Products!$A:$F,3,FALSE)</f>
        <v>Grocery</v>
      </c>
      <c r="M230" t="b">
        <f>VLOOKUP(D230,Products!$A:$F,6,FALSE)</f>
        <v>1</v>
      </c>
      <c r="N230">
        <f>VLOOKUP(D230,Products!$A:$F,4,FALSE)</f>
        <v>1203</v>
      </c>
      <c r="O230" t="str">
        <f>VLOOKUP(C230,Customers!$A:$F,5,FALSE)</f>
        <v>Retail</v>
      </c>
      <c r="P230">
        <f>VLOOKUP(C230,Customers!$A:$F,3,FALSE)</f>
        <v>38</v>
      </c>
      <c r="Q230" t="str">
        <f>VLOOKUP(E230,Sales_Reps!$A:$E,3,FALSE)</f>
        <v>South</v>
      </c>
      <c r="R230" t="str">
        <f>VLOOKUP(E230,Sales_Reps!$A:$E,2,FALSE)</f>
        <v>Ritu Menon</v>
      </c>
      <c r="S230">
        <f t="shared" si="3"/>
        <v>0.47004405286343615</v>
      </c>
    </row>
    <row r="231" spans="1:19" x14ac:dyDescent="0.3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  <c r="L231" t="str">
        <f>VLOOKUP(D231,Products!$A:$F,3,FALSE)</f>
        <v>Beauty</v>
      </c>
      <c r="M231" t="b">
        <f>VLOOKUP(D231,Products!$A:$F,6,FALSE)</f>
        <v>1</v>
      </c>
      <c r="N231">
        <f>VLOOKUP(D231,Products!$A:$F,4,FALSE)</f>
        <v>2768</v>
      </c>
      <c r="O231" t="str">
        <f>VLOOKUP(C231,Customers!$A:$F,5,FALSE)</f>
        <v>Retail</v>
      </c>
      <c r="P231">
        <f>VLOOKUP(C231,Customers!$A:$F,3,FALSE)</f>
        <v>42</v>
      </c>
      <c r="Q231" t="str">
        <f>VLOOKUP(E231,Sales_Reps!$A:$E,3,FALSE)</f>
        <v>South</v>
      </c>
      <c r="R231" t="str">
        <f>VLOOKUP(E231,Sales_Reps!$A:$E,2,FALSE)</f>
        <v>Anjali Chopra</v>
      </c>
      <c r="S231">
        <f t="shared" si="3"/>
        <v>0.43278688524590164</v>
      </c>
    </row>
    <row r="232" spans="1:19" x14ac:dyDescent="0.3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  <c r="L232" t="str">
        <f>VLOOKUP(D232,Products!$A:$F,3,FALSE)</f>
        <v>Grocery</v>
      </c>
      <c r="M232" t="b">
        <f>VLOOKUP(D232,Products!$A:$F,6,FALSE)</f>
        <v>1</v>
      </c>
      <c r="N232">
        <f>VLOOKUP(D232,Products!$A:$F,4,FALSE)</f>
        <v>1182</v>
      </c>
      <c r="O232" t="str">
        <f>VLOOKUP(C232,Customers!$A:$F,5,FALSE)</f>
        <v>Corporate</v>
      </c>
      <c r="P232">
        <f>VLOOKUP(C232,Customers!$A:$F,3,FALSE)</f>
        <v>55</v>
      </c>
      <c r="Q232" t="str">
        <f>VLOOKUP(E232,Sales_Reps!$A:$E,3,FALSE)</f>
        <v>North</v>
      </c>
      <c r="R232" t="str">
        <f>VLOOKUP(E232,Sales_Reps!$A:$E,2,FALSE)</f>
        <v>Sunita Malhotra</v>
      </c>
      <c r="S232">
        <f t="shared" si="3"/>
        <v>0.50336134453781511</v>
      </c>
    </row>
    <row r="233" spans="1:19" x14ac:dyDescent="0.3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  <c r="L233" t="str">
        <f>VLOOKUP(D233,Products!$A:$F,3,FALSE)</f>
        <v>Sports</v>
      </c>
      <c r="M233" t="b">
        <f>VLOOKUP(D233,Products!$A:$F,6,FALSE)</f>
        <v>1</v>
      </c>
      <c r="N233">
        <f>VLOOKUP(D233,Products!$A:$F,4,FALSE)</f>
        <v>516</v>
      </c>
      <c r="O233" t="str">
        <f>VLOOKUP(C233,Customers!$A:$F,5,FALSE)</f>
        <v>Retail</v>
      </c>
      <c r="P233">
        <f>VLOOKUP(C233,Customers!$A:$F,3,FALSE)</f>
        <v>38</v>
      </c>
      <c r="Q233" t="str">
        <f>VLOOKUP(E233,Sales_Reps!$A:$E,3,FALSE)</f>
        <v>West</v>
      </c>
      <c r="R233" t="str">
        <f>VLOOKUP(E233,Sales_Reps!$A:$E,2,FALSE)</f>
        <v>Ashok Reddy</v>
      </c>
      <c r="S233">
        <f t="shared" si="3"/>
        <v>0.4891089108910891</v>
      </c>
    </row>
    <row r="234" spans="1:19" x14ac:dyDescent="0.3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  <c r="L234" t="str">
        <f>VLOOKUP(D234,Products!$A:$F,3,FALSE)</f>
        <v>Sports</v>
      </c>
      <c r="M234" t="b">
        <f>VLOOKUP(D234,Products!$A:$F,6,FALSE)</f>
        <v>1</v>
      </c>
      <c r="N234">
        <f>VLOOKUP(D234,Products!$A:$F,4,FALSE)</f>
        <v>2827</v>
      </c>
      <c r="O234" t="str">
        <f>VLOOKUP(C234,Customers!$A:$F,5,FALSE)</f>
        <v>Retail</v>
      </c>
      <c r="P234">
        <f>VLOOKUP(C234,Customers!$A:$F,3,FALSE)</f>
        <v>46</v>
      </c>
      <c r="Q234" t="str">
        <f>VLOOKUP(E234,Sales_Reps!$A:$E,3,FALSE)</f>
        <v>West</v>
      </c>
      <c r="R234" t="str">
        <f>VLOOKUP(E234,Sales_Reps!$A:$E,2,FALSE)</f>
        <v>Arun Iyer</v>
      </c>
      <c r="S234">
        <f t="shared" si="3"/>
        <v>0.5926512968299712</v>
      </c>
    </row>
    <row r="235" spans="1:19" x14ac:dyDescent="0.3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  <c r="L235" t="str">
        <f>VLOOKUP(D235,Products!$A:$F,3,FALSE)</f>
        <v>Beauty</v>
      </c>
      <c r="M235" t="b">
        <f>VLOOKUP(D235,Products!$A:$F,6,FALSE)</f>
        <v>1</v>
      </c>
      <c r="N235">
        <f>VLOOKUP(D235,Products!$A:$F,4,FALSE)</f>
        <v>1219</v>
      </c>
      <c r="O235" t="str">
        <f>VLOOKUP(C235,Customers!$A:$F,5,FALSE)</f>
        <v>Retail</v>
      </c>
      <c r="P235">
        <f>VLOOKUP(C235,Customers!$A:$F,3,FALSE)</f>
        <v>65</v>
      </c>
      <c r="Q235" t="str">
        <f>VLOOKUP(E235,Sales_Reps!$A:$E,3,FALSE)</f>
        <v>West</v>
      </c>
      <c r="R235" t="str">
        <f>VLOOKUP(E235,Sales_Reps!$A:$E,2,FALSE)</f>
        <v>Rekha Chopra</v>
      </c>
      <c r="S235">
        <f t="shared" si="3"/>
        <v>0.46768558951965067</v>
      </c>
    </row>
    <row r="236" spans="1:19" x14ac:dyDescent="0.3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  <c r="L236" t="str">
        <f>VLOOKUP(D236,Products!$A:$F,3,FALSE)</f>
        <v>Home</v>
      </c>
      <c r="M236" t="b">
        <f>VLOOKUP(D236,Products!$A:$F,6,FALSE)</f>
        <v>1</v>
      </c>
      <c r="N236">
        <f>VLOOKUP(D236,Products!$A:$F,4,FALSE)</f>
        <v>288</v>
      </c>
      <c r="O236" t="str">
        <f>VLOOKUP(C236,Customers!$A:$F,5,FALSE)</f>
        <v>SMB</v>
      </c>
      <c r="P236">
        <f>VLOOKUP(C236,Customers!$A:$F,3,FALSE)</f>
        <v>27</v>
      </c>
      <c r="Q236" t="str">
        <f>VLOOKUP(E236,Sales_Reps!$A:$E,3,FALSE)</f>
        <v>South</v>
      </c>
      <c r="R236" t="str">
        <f>VLOOKUP(E236,Sales_Reps!$A:$E,2,FALSE)</f>
        <v>Ritu Menon</v>
      </c>
      <c r="S236">
        <f t="shared" si="3"/>
        <v>0.22162162162162163</v>
      </c>
    </row>
    <row r="237" spans="1:19" x14ac:dyDescent="0.3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  <c r="L237" t="str">
        <f>VLOOKUP(D237,Products!$A:$F,3,FALSE)</f>
        <v>Grocery</v>
      </c>
      <c r="M237" t="b">
        <f>VLOOKUP(D237,Products!$A:$F,6,FALSE)</f>
        <v>1</v>
      </c>
      <c r="N237">
        <f>VLOOKUP(D237,Products!$A:$F,4,FALSE)</f>
        <v>1412</v>
      </c>
      <c r="O237" t="str">
        <f>VLOOKUP(C237,Customers!$A:$F,5,FALSE)</f>
        <v>Corporate</v>
      </c>
      <c r="P237">
        <f>VLOOKUP(C237,Customers!$A:$F,3,FALSE)</f>
        <v>40</v>
      </c>
      <c r="Q237" t="str">
        <f>VLOOKUP(E237,Sales_Reps!$A:$E,3,FALSE)</f>
        <v>East</v>
      </c>
      <c r="R237" t="str">
        <f>VLOOKUP(E237,Sales_Reps!$A:$E,2,FALSE)</f>
        <v>Meera Iyer</v>
      </c>
      <c r="S237">
        <f t="shared" si="3"/>
        <v>0.37797356828193834</v>
      </c>
    </row>
    <row r="238" spans="1:19" x14ac:dyDescent="0.3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  <c r="L238" t="str">
        <f>VLOOKUP(D238,Products!$A:$F,3,FALSE)</f>
        <v>Beauty</v>
      </c>
      <c r="M238" t="b">
        <f>VLOOKUP(D238,Products!$A:$F,6,FALSE)</f>
        <v>1</v>
      </c>
      <c r="N238">
        <f>VLOOKUP(D238,Products!$A:$F,4,FALSE)</f>
        <v>2617</v>
      </c>
      <c r="O238" t="str">
        <f>VLOOKUP(C238,Customers!$A:$F,5,FALSE)</f>
        <v>SMB</v>
      </c>
      <c r="P238">
        <f>VLOOKUP(C238,Customers!$A:$F,3,FALSE)</f>
        <v>59</v>
      </c>
      <c r="Q238" t="str">
        <f>VLOOKUP(E238,Sales_Reps!$A:$E,3,FALSE)</f>
        <v>North</v>
      </c>
      <c r="R238" t="str">
        <f>VLOOKUP(E238,Sales_Reps!$A:$E,2,FALSE)</f>
        <v>Sunita Malhotra</v>
      </c>
      <c r="S238">
        <f t="shared" si="3"/>
        <v>0.56957236842105263</v>
      </c>
    </row>
    <row r="239" spans="1:19" x14ac:dyDescent="0.3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  <c r="L239" t="str">
        <f>VLOOKUP(D239,Products!$A:$F,3,FALSE)</f>
        <v>Electronics</v>
      </c>
      <c r="M239" t="b">
        <f>VLOOKUP(D239,Products!$A:$F,6,FALSE)</f>
        <v>1</v>
      </c>
      <c r="N239">
        <f>VLOOKUP(D239,Products!$A:$F,4,FALSE)</f>
        <v>2405</v>
      </c>
      <c r="O239" t="str">
        <f>VLOOKUP(C239,Customers!$A:$F,5,FALSE)</f>
        <v>Retail</v>
      </c>
      <c r="P239">
        <f>VLOOKUP(C239,Customers!$A:$F,3,FALSE)</f>
        <v>34</v>
      </c>
      <c r="Q239" t="str">
        <f>VLOOKUP(E239,Sales_Reps!$A:$E,3,FALSE)</f>
        <v>East</v>
      </c>
      <c r="R239" t="str">
        <f>VLOOKUP(E239,Sales_Reps!$A:$E,2,FALSE)</f>
        <v>Shalini Patel</v>
      </c>
      <c r="S239">
        <f t="shared" si="3"/>
        <v>0.54878048780487809</v>
      </c>
    </row>
    <row r="240" spans="1:19" x14ac:dyDescent="0.3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  <c r="L240" t="str">
        <f>VLOOKUP(D240,Products!$A:$F,3,FALSE)</f>
        <v>Grocery</v>
      </c>
      <c r="M240" t="b">
        <f>VLOOKUP(D240,Products!$A:$F,6,FALSE)</f>
        <v>1</v>
      </c>
      <c r="N240">
        <f>VLOOKUP(D240,Products!$A:$F,4,FALSE)</f>
        <v>2027</v>
      </c>
      <c r="O240" t="str">
        <f>VLOOKUP(C240,Customers!$A:$F,5,FALSE)</f>
        <v>Retail</v>
      </c>
      <c r="P240">
        <f>VLOOKUP(C240,Customers!$A:$F,3,FALSE)</f>
        <v>26</v>
      </c>
      <c r="Q240" t="str">
        <f>VLOOKUP(E240,Sales_Reps!$A:$E,3,FALSE)</f>
        <v>West</v>
      </c>
      <c r="R240" t="str">
        <f>VLOOKUP(E240,Sales_Reps!$A:$E,2,FALSE)</f>
        <v>Rekha Chopra</v>
      </c>
      <c r="S240">
        <f t="shared" si="3"/>
        <v>0.50196560196560192</v>
      </c>
    </row>
    <row r="241" spans="1:19" x14ac:dyDescent="0.3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  <c r="L241" t="str">
        <f>VLOOKUP(D241,Products!$A:$F,3,FALSE)</f>
        <v>Electronics</v>
      </c>
      <c r="M241" t="b">
        <f>VLOOKUP(D241,Products!$A:$F,6,FALSE)</f>
        <v>1</v>
      </c>
      <c r="N241">
        <f>VLOOKUP(D241,Products!$A:$F,4,FALSE)</f>
        <v>128</v>
      </c>
      <c r="O241" t="str">
        <f>VLOOKUP(C241,Customers!$A:$F,5,FALSE)</f>
        <v>Corporate</v>
      </c>
      <c r="P241">
        <f>VLOOKUP(C241,Customers!$A:$F,3,FALSE)</f>
        <v>37</v>
      </c>
      <c r="Q241" t="str">
        <f>VLOOKUP(E241,Sales_Reps!$A:$E,3,FALSE)</f>
        <v>North</v>
      </c>
      <c r="R241" t="str">
        <f>VLOOKUP(E241,Sales_Reps!$A:$E,2,FALSE)</f>
        <v>Priya Singh</v>
      </c>
      <c r="S241">
        <f t="shared" si="3"/>
        <v>0.57333333333333336</v>
      </c>
    </row>
    <row r="242" spans="1:19" x14ac:dyDescent="0.3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  <c r="L242" t="str">
        <f>VLOOKUP(D242,Products!$A:$F,3,FALSE)</f>
        <v>Beauty</v>
      </c>
      <c r="M242" t="b">
        <f>VLOOKUP(D242,Products!$A:$F,6,FALSE)</f>
        <v>1</v>
      </c>
      <c r="N242">
        <f>VLOOKUP(D242,Products!$A:$F,4,FALSE)</f>
        <v>2768</v>
      </c>
      <c r="O242" t="str">
        <f>VLOOKUP(C242,Customers!$A:$F,5,FALSE)</f>
        <v>Retail</v>
      </c>
      <c r="P242">
        <f>VLOOKUP(C242,Customers!$A:$F,3,FALSE)</f>
        <v>56</v>
      </c>
      <c r="Q242" t="str">
        <f>VLOOKUP(E242,Sales_Reps!$A:$E,3,FALSE)</f>
        <v>South</v>
      </c>
      <c r="R242" t="str">
        <f>VLOOKUP(E242,Sales_Reps!$A:$E,2,FALSE)</f>
        <v>Ritu Menon</v>
      </c>
      <c r="S242">
        <f t="shared" si="3"/>
        <v>0.43278688524590164</v>
      </c>
    </row>
    <row r="243" spans="1:19" x14ac:dyDescent="0.3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  <c r="L243" t="str">
        <f>VLOOKUP(D243,Products!$A:$F,3,FALSE)</f>
        <v>Sports</v>
      </c>
      <c r="M243" t="b">
        <f>VLOOKUP(D243,Products!$A:$F,6,FALSE)</f>
        <v>1</v>
      </c>
      <c r="N243">
        <f>VLOOKUP(D243,Products!$A:$F,4,FALSE)</f>
        <v>2028</v>
      </c>
      <c r="O243" t="str">
        <f>VLOOKUP(C243,Customers!$A:$F,5,FALSE)</f>
        <v>Corporate</v>
      </c>
      <c r="P243">
        <f>VLOOKUP(C243,Customers!$A:$F,3,FALSE)</f>
        <v>30</v>
      </c>
      <c r="Q243" t="str">
        <f>VLOOKUP(E243,Sales_Reps!$A:$E,3,FALSE)</f>
        <v>West</v>
      </c>
      <c r="R243" t="str">
        <f>VLOOKUP(E243,Sales_Reps!$A:$E,2,FALSE)</f>
        <v>Ramesh Bhatt</v>
      </c>
      <c r="S243">
        <f t="shared" si="3"/>
        <v>0.29090909090909089</v>
      </c>
    </row>
    <row r="244" spans="1:19" x14ac:dyDescent="0.3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  <c r="L244" t="str">
        <f>VLOOKUP(D244,Products!$A:$F,3,FALSE)</f>
        <v>Beauty</v>
      </c>
      <c r="M244" t="b">
        <f>VLOOKUP(D244,Products!$A:$F,6,FALSE)</f>
        <v>0</v>
      </c>
      <c r="N244">
        <f>VLOOKUP(D244,Products!$A:$F,4,FALSE)</f>
        <v>647</v>
      </c>
      <c r="O244" t="str">
        <f>VLOOKUP(C244,Customers!$A:$F,5,FALSE)</f>
        <v>SMB</v>
      </c>
      <c r="P244">
        <f>VLOOKUP(C244,Customers!$A:$F,3,FALSE)</f>
        <v>54</v>
      </c>
      <c r="Q244" t="str">
        <f>VLOOKUP(E244,Sales_Reps!$A:$E,3,FALSE)</f>
        <v>North</v>
      </c>
      <c r="R244" t="str">
        <f>VLOOKUP(E244,Sales_Reps!$A:$E,2,FALSE)</f>
        <v>Sunita Malhotra</v>
      </c>
      <c r="S244">
        <f t="shared" si="3"/>
        <v>0.57987012987012987</v>
      </c>
    </row>
    <row r="245" spans="1:19" x14ac:dyDescent="0.3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  <c r="L245" t="str">
        <f>VLOOKUP(D245,Products!$A:$F,3,FALSE)</f>
        <v>Electronics</v>
      </c>
      <c r="M245" t="b">
        <f>VLOOKUP(D245,Products!$A:$F,6,FALSE)</f>
        <v>1</v>
      </c>
      <c r="N245">
        <f>VLOOKUP(D245,Products!$A:$F,4,FALSE)</f>
        <v>1149</v>
      </c>
      <c r="O245" t="str">
        <f>VLOOKUP(C245,Customers!$A:$F,5,FALSE)</f>
        <v>Retail</v>
      </c>
      <c r="P245">
        <f>VLOOKUP(C245,Customers!$A:$F,3,FALSE)</f>
        <v>22</v>
      </c>
      <c r="Q245" t="str">
        <f>VLOOKUP(E245,Sales_Reps!$A:$E,3,FALSE)</f>
        <v>South</v>
      </c>
      <c r="R245" t="str">
        <f>VLOOKUP(E245,Sales_Reps!$A:$E,2,FALSE)</f>
        <v>Divya Rao</v>
      </c>
      <c r="S245">
        <f t="shared" si="3"/>
        <v>0.56477272727272732</v>
      </c>
    </row>
    <row r="246" spans="1:19" x14ac:dyDescent="0.3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  <c r="L246" t="str">
        <f>VLOOKUP(D246,Products!$A:$F,3,FALSE)</f>
        <v>Apparel</v>
      </c>
      <c r="M246" t="b">
        <f>VLOOKUP(D246,Products!$A:$F,6,FALSE)</f>
        <v>1</v>
      </c>
      <c r="N246">
        <f>VLOOKUP(D246,Products!$A:$F,4,FALSE)</f>
        <v>1886</v>
      </c>
      <c r="O246" t="str">
        <f>VLOOKUP(C246,Customers!$A:$F,5,FALSE)</f>
        <v>Corporate</v>
      </c>
      <c r="P246">
        <f>VLOOKUP(C246,Customers!$A:$F,3,FALSE)</f>
        <v>42</v>
      </c>
      <c r="Q246" t="str">
        <f>VLOOKUP(E246,Sales_Reps!$A:$E,3,FALSE)</f>
        <v>South</v>
      </c>
      <c r="R246" t="str">
        <f>VLOOKUP(E246,Sales_Reps!$A:$E,2,FALSE)</f>
        <v>Sanjay Kapoor</v>
      </c>
      <c r="S246">
        <f t="shared" si="3"/>
        <v>0.4031645569620253</v>
      </c>
    </row>
    <row r="247" spans="1:19" x14ac:dyDescent="0.3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  <c r="L247" t="str">
        <f>VLOOKUP(D247,Products!$A:$F,3,FALSE)</f>
        <v>Home</v>
      </c>
      <c r="M247" t="b">
        <f>VLOOKUP(D247,Products!$A:$F,6,FALSE)</f>
        <v>1</v>
      </c>
      <c r="N247">
        <f>VLOOKUP(D247,Products!$A:$F,4,FALSE)</f>
        <v>519</v>
      </c>
      <c r="O247" t="str">
        <f>VLOOKUP(C247,Customers!$A:$F,5,FALSE)</f>
        <v>SMB</v>
      </c>
      <c r="P247">
        <f>VLOOKUP(C247,Customers!$A:$F,3,FALSE)</f>
        <v>48</v>
      </c>
      <c r="Q247" t="str">
        <f>VLOOKUP(E247,Sales_Reps!$A:$E,3,FALSE)</f>
        <v>North</v>
      </c>
      <c r="R247" t="str">
        <f>VLOOKUP(E247,Sales_Reps!$A:$E,2,FALSE)</f>
        <v>Suresh Menon</v>
      </c>
      <c r="S247">
        <f t="shared" si="3"/>
        <v>0.51944444444444449</v>
      </c>
    </row>
    <row r="248" spans="1:19" x14ac:dyDescent="0.3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  <c r="L248" t="str">
        <f>VLOOKUP(D248,Products!$A:$F,3,FALSE)</f>
        <v>Sports</v>
      </c>
      <c r="M248" t="b">
        <f>VLOOKUP(D248,Products!$A:$F,6,FALSE)</f>
        <v>1</v>
      </c>
      <c r="N248">
        <f>VLOOKUP(D248,Products!$A:$F,4,FALSE)</f>
        <v>516</v>
      </c>
      <c r="O248" t="str">
        <f>VLOOKUP(C248,Customers!$A:$F,5,FALSE)</f>
        <v>Retail</v>
      </c>
      <c r="P248">
        <f>VLOOKUP(C248,Customers!$A:$F,3,FALSE)</f>
        <v>39</v>
      </c>
      <c r="Q248" t="str">
        <f>VLOOKUP(E248,Sales_Reps!$A:$E,3,FALSE)</f>
        <v>South</v>
      </c>
      <c r="R248" t="str">
        <f>VLOOKUP(E248,Sales_Reps!$A:$E,2,FALSE)</f>
        <v>Sanjay Kapoor</v>
      </c>
      <c r="S248">
        <f t="shared" si="3"/>
        <v>0.4891089108910891</v>
      </c>
    </row>
    <row r="249" spans="1:19" x14ac:dyDescent="0.3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  <c r="L249" t="str">
        <f>VLOOKUP(D249,Products!$A:$F,3,FALSE)</f>
        <v>Electronics</v>
      </c>
      <c r="M249" t="b">
        <f>VLOOKUP(D249,Products!$A:$F,6,FALSE)</f>
        <v>1</v>
      </c>
      <c r="N249">
        <f>VLOOKUP(D249,Products!$A:$F,4,FALSE)</f>
        <v>1052</v>
      </c>
      <c r="O249" t="str">
        <f>VLOOKUP(C249,Customers!$A:$F,5,FALSE)</f>
        <v>Corporate</v>
      </c>
      <c r="P249">
        <f>VLOOKUP(C249,Customers!$A:$F,3,FALSE)</f>
        <v>26</v>
      </c>
      <c r="Q249" t="str">
        <f>VLOOKUP(E249,Sales_Reps!$A:$E,3,FALSE)</f>
        <v>West</v>
      </c>
      <c r="R249" t="str">
        <f>VLOOKUP(E249,Sales_Reps!$A:$E,2,FALSE)</f>
        <v>Ramesh Bhatt</v>
      </c>
      <c r="S249">
        <f t="shared" si="3"/>
        <v>0.5953846153846154</v>
      </c>
    </row>
    <row r="250" spans="1:19" x14ac:dyDescent="0.3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  <c r="L250" t="str">
        <f>VLOOKUP(D250,Products!$A:$F,3,FALSE)</f>
        <v>Apparel</v>
      </c>
      <c r="M250" t="b">
        <f>VLOOKUP(D250,Products!$A:$F,6,FALSE)</f>
        <v>0</v>
      </c>
      <c r="N250">
        <f>VLOOKUP(D250,Products!$A:$F,4,FALSE)</f>
        <v>1075</v>
      </c>
      <c r="O250" t="str">
        <f>VLOOKUP(C250,Customers!$A:$F,5,FALSE)</f>
        <v>SMB</v>
      </c>
      <c r="P250">
        <f>VLOOKUP(C250,Customers!$A:$F,3,FALSE)</f>
        <v>55</v>
      </c>
      <c r="Q250" t="str">
        <f>VLOOKUP(E250,Sales_Reps!$A:$E,3,FALSE)</f>
        <v>South</v>
      </c>
      <c r="R250" t="str">
        <f>VLOOKUP(E250,Sales_Reps!$A:$E,2,FALSE)</f>
        <v>Manoj Patel</v>
      </c>
      <c r="S250">
        <f t="shared" si="3"/>
        <v>0.57171314741035861</v>
      </c>
    </row>
    <row r="251" spans="1:19" x14ac:dyDescent="0.3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  <c r="L251" t="str">
        <f>VLOOKUP(D251,Products!$A:$F,3,FALSE)</f>
        <v>Grocery</v>
      </c>
      <c r="M251" t="b">
        <f>VLOOKUP(D251,Products!$A:$F,6,FALSE)</f>
        <v>1</v>
      </c>
      <c r="N251">
        <f>VLOOKUP(D251,Products!$A:$F,4,FALSE)</f>
        <v>2027</v>
      </c>
      <c r="O251" t="str">
        <f>VLOOKUP(C251,Customers!$A:$F,5,FALSE)</f>
        <v>Retail</v>
      </c>
      <c r="P251">
        <f>VLOOKUP(C251,Customers!$A:$F,3,FALSE)</f>
        <v>61</v>
      </c>
      <c r="Q251" t="str">
        <f>VLOOKUP(E251,Sales_Reps!$A:$E,3,FALSE)</f>
        <v>East</v>
      </c>
      <c r="R251" t="str">
        <f>VLOOKUP(E251,Sales_Reps!$A:$E,2,FALSE)</f>
        <v>Nisha Menon</v>
      </c>
      <c r="S251">
        <f t="shared" si="3"/>
        <v>0.50196560196560192</v>
      </c>
    </row>
    <row r="252" spans="1:19" x14ac:dyDescent="0.3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  <c r="L252" t="str">
        <f>VLOOKUP(D252,Products!$A:$F,3,FALSE)</f>
        <v>Apparel</v>
      </c>
      <c r="M252" t="b">
        <f>VLOOKUP(D252,Products!$A:$F,6,FALSE)</f>
        <v>1</v>
      </c>
      <c r="N252">
        <f>VLOOKUP(D252,Products!$A:$F,4,FALSE)</f>
        <v>391</v>
      </c>
      <c r="O252" t="str">
        <f>VLOOKUP(C252,Customers!$A:$F,5,FALSE)</f>
        <v>Retail</v>
      </c>
      <c r="P252">
        <f>VLOOKUP(C252,Customers!$A:$F,3,FALSE)</f>
        <v>34</v>
      </c>
      <c r="Q252" t="str">
        <f>VLOOKUP(E252,Sales_Reps!$A:$E,3,FALSE)</f>
        <v>South</v>
      </c>
      <c r="R252" t="str">
        <f>VLOOKUP(E252,Sales_Reps!$A:$E,2,FALSE)</f>
        <v>Divya Rao</v>
      </c>
      <c r="S252">
        <f t="shared" si="3"/>
        <v>0.52317073170731709</v>
      </c>
    </row>
    <row r="253" spans="1:19" x14ac:dyDescent="0.3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  <c r="L253" t="str">
        <f>VLOOKUP(D253,Products!$A:$F,3,FALSE)</f>
        <v>Grocery</v>
      </c>
      <c r="M253" t="b">
        <f>VLOOKUP(D253,Products!$A:$F,6,FALSE)</f>
        <v>1</v>
      </c>
      <c r="N253">
        <f>VLOOKUP(D253,Products!$A:$F,4,FALSE)</f>
        <v>434</v>
      </c>
      <c r="O253" t="str">
        <f>VLOOKUP(C253,Customers!$A:$F,5,FALSE)</f>
        <v>Retail</v>
      </c>
      <c r="P253">
        <f>VLOOKUP(C253,Customers!$A:$F,3,FALSE)</f>
        <v>52</v>
      </c>
      <c r="Q253" t="str">
        <f>VLOOKUP(E253,Sales_Reps!$A:$E,3,FALSE)</f>
        <v>North</v>
      </c>
      <c r="R253" t="str">
        <f>VLOOKUP(E253,Sales_Reps!$A:$E,2,FALSE)</f>
        <v>Vikram Patel</v>
      </c>
      <c r="S253">
        <f t="shared" si="3"/>
        <v>0.5525773195876289</v>
      </c>
    </row>
    <row r="254" spans="1:19" x14ac:dyDescent="0.3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  <c r="L254" t="str">
        <f>VLOOKUP(D254,Products!$A:$F,3,FALSE)</f>
        <v>Grocery</v>
      </c>
      <c r="M254" t="b">
        <f>VLOOKUP(D254,Products!$A:$F,6,FALSE)</f>
        <v>1</v>
      </c>
      <c r="N254">
        <f>VLOOKUP(D254,Products!$A:$F,4,FALSE)</f>
        <v>2027</v>
      </c>
      <c r="O254" t="str">
        <f>VLOOKUP(C254,Customers!$A:$F,5,FALSE)</f>
        <v>Corporate</v>
      </c>
      <c r="P254">
        <f>VLOOKUP(C254,Customers!$A:$F,3,FALSE)</f>
        <v>40</v>
      </c>
      <c r="Q254" t="str">
        <f>VLOOKUP(E254,Sales_Reps!$A:$E,3,FALSE)</f>
        <v>South</v>
      </c>
      <c r="R254" t="str">
        <f>VLOOKUP(E254,Sales_Reps!$A:$E,2,FALSE)</f>
        <v>Pooja Nair</v>
      </c>
      <c r="S254">
        <f t="shared" si="3"/>
        <v>0.50196560196560192</v>
      </c>
    </row>
    <row r="255" spans="1:19" x14ac:dyDescent="0.3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  <c r="L255" t="str">
        <f>VLOOKUP(D255,Products!$A:$F,3,FALSE)</f>
        <v>Beauty</v>
      </c>
      <c r="M255" t="b">
        <f>VLOOKUP(D255,Products!$A:$F,6,FALSE)</f>
        <v>1</v>
      </c>
      <c r="N255">
        <f>VLOOKUP(D255,Products!$A:$F,4,FALSE)</f>
        <v>2420</v>
      </c>
      <c r="O255" t="str">
        <f>VLOOKUP(C255,Customers!$A:$F,5,FALSE)</f>
        <v>SMB</v>
      </c>
      <c r="P255">
        <f>VLOOKUP(C255,Customers!$A:$F,3,FALSE)</f>
        <v>42</v>
      </c>
      <c r="Q255" t="str">
        <f>VLOOKUP(E255,Sales_Reps!$A:$E,3,FALSE)</f>
        <v>East</v>
      </c>
      <c r="R255" t="str">
        <f>VLOOKUP(E255,Sales_Reps!$A:$E,2,FALSE)</f>
        <v>Naveen Singh</v>
      </c>
      <c r="S255">
        <f t="shared" si="3"/>
        <v>0.29855072463768118</v>
      </c>
    </row>
    <row r="256" spans="1:19" x14ac:dyDescent="0.3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  <c r="L256" t="str">
        <f>VLOOKUP(D256,Products!$A:$F,3,FALSE)</f>
        <v>Grocery</v>
      </c>
      <c r="M256" t="b">
        <f>VLOOKUP(D256,Products!$A:$F,6,FALSE)</f>
        <v>1</v>
      </c>
      <c r="N256">
        <f>VLOOKUP(D256,Products!$A:$F,4,FALSE)</f>
        <v>2436</v>
      </c>
      <c r="O256" t="str">
        <f>VLOOKUP(C256,Customers!$A:$F,5,FALSE)</f>
        <v>Retail</v>
      </c>
      <c r="P256">
        <f>VLOOKUP(C256,Customers!$A:$F,3,FALSE)</f>
        <v>49</v>
      </c>
      <c r="Q256" t="str">
        <f>VLOOKUP(E256,Sales_Reps!$A:$E,3,FALSE)</f>
        <v>South</v>
      </c>
      <c r="R256" t="str">
        <f>VLOOKUP(E256,Sales_Reps!$A:$E,2,FALSE)</f>
        <v>Divya Rao</v>
      </c>
      <c r="S256">
        <f t="shared" si="3"/>
        <v>0.35555555555555557</v>
      </c>
    </row>
    <row r="257" spans="1:19" x14ac:dyDescent="0.3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  <c r="L257" t="str">
        <f>VLOOKUP(D257,Products!$A:$F,3,FALSE)</f>
        <v>Sports</v>
      </c>
      <c r="M257" t="b">
        <f>VLOOKUP(D257,Products!$A:$F,6,FALSE)</f>
        <v>1</v>
      </c>
      <c r="N257">
        <f>VLOOKUP(D257,Products!$A:$F,4,FALSE)</f>
        <v>705</v>
      </c>
      <c r="O257" t="str">
        <f>VLOOKUP(C257,Customers!$A:$F,5,FALSE)</f>
        <v>Retail</v>
      </c>
      <c r="P257">
        <f>VLOOKUP(C257,Customers!$A:$F,3,FALSE)</f>
        <v>44</v>
      </c>
      <c r="Q257" t="str">
        <f>VLOOKUP(E257,Sales_Reps!$A:$E,3,FALSE)</f>
        <v>North</v>
      </c>
      <c r="R257" t="str">
        <f>VLOOKUP(E257,Sales_Reps!$A:$E,2,FALSE)</f>
        <v>Priya Singh</v>
      </c>
      <c r="S257">
        <f t="shared" si="3"/>
        <v>0.265625</v>
      </c>
    </row>
    <row r="258" spans="1:19" x14ac:dyDescent="0.3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  <c r="L258" t="str">
        <f>VLOOKUP(D258,Products!$A:$F,3,FALSE)</f>
        <v>Electronics</v>
      </c>
      <c r="M258" t="b">
        <f>VLOOKUP(D258,Products!$A:$F,6,FALSE)</f>
        <v>1</v>
      </c>
      <c r="N258">
        <f>VLOOKUP(D258,Products!$A:$F,4,FALSE)</f>
        <v>1665</v>
      </c>
      <c r="O258" t="str">
        <f>VLOOKUP(C258,Customers!$A:$F,5,FALSE)</f>
        <v>Retail</v>
      </c>
      <c r="P258">
        <f>VLOOKUP(C258,Customers!$A:$F,3,FALSE)</f>
        <v>53</v>
      </c>
      <c r="Q258" t="str">
        <f>VLOOKUP(E258,Sales_Reps!$A:$E,3,FALSE)</f>
        <v>East</v>
      </c>
      <c r="R258" t="str">
        <f>VLOOKUP(E258,Sales_Reps!$A:$E,2,FALSE)</f>
        <v>Nisha Menon</v>
      </c>
      <c r="S258">
        <f t="shared" si="3"/>
        <v>0.53361344537815125</v>
      </c>
    </row>
    <row r="259" spans="1:19" x14ac:dyDescent="0.3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  <c r="L259" t="str">
        <f>VLOOKUP(D259,Products!$A:$F,3,FALSE)</f>
        <v>Electronics</v>
      </c>
      <c r="M259" t="b">
        <f>VLOOKUP(D259,Products!$A:$F,6,FALSE)</f>
        <v>1</v>
      </c>
      <c r="N259">
        <f>VLOOKUP(D259,Products!$A:$F,4,FALSE)</f>
        <v>1665</v>
      </c>
      <c r="O259" t="str">
        <f>VLOOKUP(C259,Customers!$A:$F,5,FALSE)</f>
        <v>SMB</v>
      </c>
      <c r="P259">
        <f>VLOOKUP(C259,Customers!$A:$F,3,FALSE)</f>
        <v>65</v>
      </c>
      <c r="Q259" t="str">
        <f>VLOOKUP(E259,Sales_Reps!$A:$E,3,FALSE)</f>
        <v>West</v>
      </c>
      <c r="R259" t="str">
        <f>VLOOKUP(E259,Sales_Reps!$A:$E,2,FALSE)</f>
        <v>Rekha Chopra</v>
      </c>
      <c r="S259">
        <f t="shared" ref="S259:S322" si="4">IFERROR((G259-N259)/G259,"")</f>
        <v>0.53361344537815125</v>
      </c>
    </row>
    <row r="260" spans="1:19" x14ac:dyDescent="0.3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  <c r="L260" t="str">
        <f>VLOOKUP(D260,Products!$A:$F,3,FALSE)</f>
        <v>Home</v>
      </c>
      <c r="M260" t="b">
        <f>VLOOKUP(D260,Products!$A:$F,6,FALSE)</f>
        <v>1</v>
      </c>
      <c r="N260">
        <f>VLOOKUP(D260,Products!$A:$F,4,FALSE)</f>
        <v>519</v>
      </c>
      <c r="O260" t="str">
        <f>VLOOKUP(C260,Customers!$A:$F,5,FALSE)</f>
        <v>SMB</v>
      </c>
      <c r="P260">
        <f>VLOOKUP(C260,Customers!$A:$F,3,FALSE)</f>
        <v>26</v>
      </c>
      <c r="Q260" t="str">
        <f>VLOOKUP(E260,Sales_Reps!$A:$E,3,FALSE)</f>
        <v>South</v>
      </c>
      <c r="R260" t="str">
        <f>VLOOKUP(E260,Sales_Reps!$A:$E,2,FALSE)</f>
        <v>Ritu Menon</v>
      </c>
      <c r="S260">
        <f t="shared" si="4"/>
        <v>0.51944444444444449</v>
      </c>
    </row>
    <row r="261" spans="1:19" x14ac:dyDescent="0.3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  <c r="L261" t="str">
        <f>VLOOKUP(D261,Products!$A:$F,3,FALSE)</f>
        <v>Apparel</v>
      </c>
      <c r="M261" t="b">
        <f>VLOOKUP(D261,Products!$A:$F,6,FALSE)</f>
        <v>1</v>
      </c>
      <c r="N261">
        <f>VLOOKUP(D261,Products!$A:$F,4,FALSE)</f>
        <v>1748</v>
      </c>
      <c r="O261" t="str">
        <f>VLOOKUP(C261,Customers!$A:$F,5,FALSE)</f>
        <v>SMB</v>
      </c>
      <c r="P261">
        <f>VLOOKUP(C261,Customers!$A:$F,3,FALSE)</f>
        <v>40</v>
      </c>
      <c r="Q261" t="str">
        <f>VLOOKUP(E261,Sales_Reps!$A:$E,3,FALSE)</f>
        <v>South</v>
      </c>
      <c r="R261" t="str">
        <f>VLOOKUP(E261,Sales_Reps!$A:$E,2,FALSE)</f>
        <v>Divya Rao</v>
      </c>
      <c r="S261">
        <f t="shared" si="4"/>
        <v>0.49333333333333335</v>
      </c>
    </row>
    <row r="262" spans="1:19" x14ac:dyDescent="0.3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  <c r="L262" t="str">
        <f>VLOOKUP(D262,Products!$A:$F,3,FALSE)</f>
        <v>Electronics</v>
      </c>
      <c r="M262" t="b">
        <f>VLOOKUP(D262,Products!$A:$F,6,FALSE)</f>
        <v>0</v>
      </c>
      <c r="N262">
        <f>VLOOKUP(D262,Products!$A:$F,4,FALSE)</f>
        <v>1259</v>
      </c>
      <c r="O262" t="str">
        <f>VLOOKUP(C262,Customers!$A:$F,5,FALSE)</f>
        <v>Corporate</v>
      </c>
      <c r="P262">
        <f>VLOOKUP(C262,Customers!$A:$F,3,FALSE)</f>
        <v>22</v>
      </c>
      <c r="Q262" t="str">
        <f>VLOOKUP(E262,Sales_Reps!$A:$E,3,FALSE)</f>
        <v>East</v>
      </c>
      <c r="R262" t="str">
        <f>VLOOKUP(E262,Sales_Reps!$A:$E,2,FALSE)</f>
        <v>Vinod Kumar</v>
      </c>
      <c r="S262">
        <f t="shared" si="4"/>
        <v>0.52669172932330832</v>
      </c>
    </row>
    <row r="263" spans="1:19" x14ac:dyDescent="0.3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  <c r="L263" t="str">
        <f>VLOOKUP(D263,Products!$A:$F,3,FALSE)</f>
        <v>Sports</v>
      </c>
      <c r="M263" t="b">
        <f>VLOOKUP(D263,Products!$A:$F,6,FALSE)</f>
        <v>1</v>
      </c>
      <c r="N263">
        <f>VLOOKUP(D263,Products!$A:$F,4,FALSE)</f>
        <v>974</v>
      </c>
      <c r="O263" t="str">
        <f>VLOOKUP(C263,Customers!$A:$F,5,FALSE)</f>
        <v>Corporate</v>
      </c>
      <c r="P263">
        <f>VLOOKUP(C263,Customers!$A:$F,3,FALSE)</f>
        <v>46</v>
      </c>
      <c r="Q263" t="str">
        <f>VLOOKUP(E263,Sales_Reps!$A:$E,3,FALSE)</f>
        <v>South</v>
      </c>
      <c r="R263" t="str">
        <f>VLOOKUP(E263,Sales_Reps!$A:$E,2,FALSE)</f>
        <v>Manoj Patel</v>
      </c>
      <c r="S263">
        <f t="shared" si="4"/>
        <v>0.59416666666666662</v>
      </c>
    </row>
    <row r="264" spans="1:19" x14ac:dyDescent="0.3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  <c r="L264" t="str">
        <f>VLOOKUP(D264,Products!$A:$F,3,FALSE)</f>
        <v>Electronics</v>
      </c>
      <c r="M264" t="b">
        <f>VLOOKUP(D264,Products!$A:$F,6,FALSE)</f>
        <v>1</v>
      </c>
      <c r="N264">
        <f>VLOOKUP(D264,Products!$A:$F,4,FALSE)</f>
        <v>1052</v>
      </c>
      <c r="O264" t="str">
        <f>VLOOKUP(C264,Customers!$A:$F,5,FALSE)</f>
        <v>Corporate</v>
      </c>
      <c r="P264">
        <f>VLOOKUP(C264,Customers!$A:$F,3,FALSE)</f>
        <v>31</v>
      </c>
      <c r="Q264" t="str">
        <f>VLOOKUP(E264,Sales_Reps!$A:$E,3,FALSE)</f>
        <v>North</v>
      </c>
      <c r="R264" t="str">
        <f>VLOOKUP(E264,Sales_Reps!$A:$E,2,FALSE)</f>
        <v>Amit Singh</v>
      </c>
      <c r="S264">
        <f t="shared" si="4"/>
        <v>0.5953846153846154</v>
      </c>
    </row>
    <row r="265" spans="1:19" x14ac:dyDescent="0.3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  <c r="L265" t="str">
        <f>VLOOKUP(D265,Products!$A:$F,3,FALSE)</f>
        <v>Grocery</v>
      </c>
      <c r="M265" t="b">
        <f>VLOOKUP(D265,Products!$A:$F,6,FALSE)</f>
        <v>1</v>
      </c>
      <c r="N265">
        <f>VLOOKUP(D265,Products!$A:$F,4,FALSE)</f>
        <v>2911</v>
      </c>
      <c r="O265" t="str">
        <f>VLOOKUP(C265,Customers!$A:$F,5,FALSE)</f>
        <v>Retail</v>
      </c>
      <c r="P265">
        <f>VLOOKUP(C265,Customers!$A:$F,3,FALSE)</f>
        <v>40</v>
      </c>
      <c r="Q265" t="str">
        <f>VLOOKUP(E265,Sales_Reps!$A:$E,3,FALSE)</f>
        <v>North</v>
      </c>
      <c r="R265" t="str">
        <f>VLOOKUP(E265,Sales_Reps!$A:$E,2,FALSE)</f>
        <v>Priya Singh</v>
      </c>
      <c r="S265">
        <f t="shared" si="4"/>
        <v>0.28300492610837441</v>
      </c>
    </row>
    <row r="266" spans="1:19" x14ac:dyDescent="0.3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  <c r="L266" t="str">
        <f>VLOOKUP(D266,Products!$A:$F,3,FALSE)</f>
        <v>Home</v>
      </c>
      <c r="M266" t="b">
        <f>VLOOKUP(D266,Products!$A:$F,6,FALSE)</f>
        <v>1</v>
      </c>
      <c r="N266">
        <f>VLOOKUP(D266,Products!$A:$F,4,FALSE)</f>
        <v>2549</v>
      </c>
      <c r="O266" t="str">
        <f>VLOOKUP(C266,Customers!$A:$F,5,FALSE)</f>
        <v>Corporate</v>
      </c>
      <c r="P266">
        <f>VLOOKUP(C266,Customers!$A:$F,3,FALSE)</f>
        <v>22</v>
      </c>
      <c r="Q266" t="str">
        <f>VLOOKUP(E266,Sales_Reps!$A:$E,3,FALSE)</f>
        <v>East</v>
      </c>
      <c r="R266" t="str">
        <f>VLOOKUP(E266,Sales_Reps!$A:$E,2,FALSE)</f>
        <v>Vinod Kumar</v>
      </c>
      <c r="S266">
        <f t="shared" si="4"/>
        <v>0.53570127504553733</v>
      </c>
    </row>
    <row r="267" spans="1:19" x14ac:dyDescent="0.3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  <c r="L267" t="str">
        <f>VLOOKUP(D267,Products!$A:$F,3,FALSE)</f>
        <v>Home</v>
      </c>
      <c r="M267" t="b">
        <f>VLOOKUP(D267,Products!$A:$F,6,FALSE)</f>
        <v>1</v>
      </c>
      <c r="N267">
        <f>VLOOKUP(D267,Products!$A:$F,4,FALSE)</f>
        <v>288</v>
      </c>
      <c r="O267" t="str">
        <f>VLOOKUP(C267,Customers!$A:$F,5,FALSE)</f>
        <v>Retail</v>
      </c>
      <c r="P267">
        <f>VLOOKUP(C267,Customers!$A:$F,3,FALSE)</f>
        <v>49</v>
      </c>
      <c r="Q267" t="str">
        <f>VLOOKUP(E267,Sales_Reps!$A:$E,3,FALSE)</f>
        <v>East</v>
      </c>
      <c r="R267" t="str">
        <f>VLOOKUP(E267,Sales_Reps!$A:$E,2,FALSE)</f>
        <v>Shalini Patel</v>
      </c>
      <c r="S267">
        <f t="shared" si="4"/>
        <v>0.22162162162162163</v>
      </c>
    </row>
    <row r="268" spans="1:19" x14ac:dyDescent="0.3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  <c r="L268" t="str">
        <f>VLOOKUP(D268,Products!$A:$F,3,FALSE)</f>
        <v>Apparel</v>
      </c>
      <c r="M268" t="b">
        <f>VLOOKUP(D268,Products!$A:$F,6,FALSE)</f>
        <v>1</v>
      </c>
      <c r="N268">
        <f>VLOOKUP(D268,Products!$A:$F,4,FALSE)</f>
        <v>396</v>
      </c>
      <c r="O268" t="str">
        <f>VLOOKUP(C268,Customers!$A:$F,5,FALSE)</f>
        <v>SMB</v>
      </c>
      <c r="P268">
        <f>VLOOKUP(C268,Customers!$A:$F,3,FALSE)</f>
        <v>38</v>
      </c>
      <c r="Q268" t="str">
        <f>VLOOKUP(E268,Sales_Reps!$A:$E,3,FALSE)</f>
        <v>East</v>
      </c>
      <c r="R268" t="str">
        <f>VLOOKUP(E268,Sales_Reps!$A:$E,2,FALSE)</f>
        <v>Vinod Kumar</v>
      </c>
      <c r="S268">
        <f t="shared" si="4"/>
        <v>0.36129032258064514</v>
      </c>
    </row>
    <row r="269" spans="1:19" x14ac:dyDescent="0.3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  <c r="L269" t="str">
        <f>VLOOKUP(D269,Products!$A:$F,3,FALSE)</f>
        <v>Home</v>
      </c>
      <c r="M269" t="b">
        <f>VLOOKUP(D269,Products!$A:$F,6,FALSE)</f>
        <v>1</v>
      </c>
      <c r="N269">
        <f>VLOOKUP(D269,Products!$A:$F,4,FALSE)</f>
        <v>1556</v>
      </c>
      <c r="O269" t="str">
        <f>VLOOKUP(C269,Customers!$A:$F,5,FALSE)</f>
        <v>Retail</v>
      </c>
      <c r="P269">
        <f>VLOOKUP(C269,Customers!$A:$F,3,FALSE)</f>
        <v>26</v>
      </c>
      <c r="Q269" t="str">
        <f>VLOOKUP(E269,Sales_Reps!$A:$E,3,FALSE)</f>
        <v>West</v>
      </c>
      <c r="R269" t="str">
        <f>VLOOKUP(E269,Sales_Reps!$A:$E,2,FALSE)</f>
        <v>Arun Iyer</v>
      </c>
      <c r="S269">
        <f t="shared" si="4"/>
        <v>0.52123076923076928</v>
      </c>
    </row>
    <row r="270" spans="1:19" x14ac:dyDescent="0.3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  <c r="L270" t="str">
        <f>VLOOKUP(D270,Products!$A:$F,3,FALSE)</f>
        <v>Beauty</v>
      </c>
      <c r="M270" t="b">
        <f>VLOOKUP(D270,Products!$A:$F,6,FALSE)</f>
        <v>1</v>
      </c>
      <c r="N270">
        <f>VLOOKUP(D270,Products!$A:$F,4,FALSE)</f>
        <v>2617</v>
      </c>
      <c r="O270" t="str">
        <f>VLOOKUP(C270,Customers!$A:$F,5,FALSE)</f>
        <v>SMB</v>
      </c>
      <c r="P270">
        <f>VLOOKUP(C270,Customers!$A:$F,3,FALSE)</f>
        <v>54</v>
      </c>
      <c r="Q270" t="str">
        <f>VLOOKUP(E270,Sales_Reps!$A:$E,3,FALSE)</f>
        <v>South</v>
      </c>
      <c r="R270" t="str">
        <f>VLOOKUP(E270,Sales_Reps!$A:$E,2,FALSE)</f>
        <v>Anil Verma</v>
      </c>
      <c r="S270">
        <f t="shared" si="4"/>
        <v>0.56957236842105263</v>
      </c>
    </row>
    <row r="271" spans="1:19" x14ac:dyDescent="0.3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  <c r="L271" t="str">
        <f>VLOOKUP(D271,Products!$A:$F,3,FALSE)</f>
        <v>Apparel</v>
      </c>
      <c r="M271" t="b">
        <f>VLOOKUP(D271,Products!$A:$F,6,FALSE)</f>
        <v>1</v>
      </c>
      <c r="N271">
        <f>VLOOKUP(D271,Products!$A:$F,4,FALSE)</f>
        <v>2611</v>
      </c>
      <c r="O271" t="str">
        <f>VLOOKUP(C271,Customers!$A:$F,5,FALSE)</f>
        <v>Corporate</v>
      </c>
      <c r="P271">
        <f>VLOOKUP(C271,Customers!$A:$F,3,FALSE)</f>
        <v>30</v>
      </c>
      <c r="Q271" t="str">
        <f>VLOOKUP(E271,Sales_Reps!$A:$E,3,FALSE)</f>
        <v>South</v>
      </c>
      <c r="R271" t="str">
        <f>VLOOKUP(E271,Sales_Reps!$A:$E,2,FALSE)</f>
        <v>Ritu Menon</v>
      </c>
      <c r="S271">
        <f t="shared" si="4"/>
        <v>0.28269230769230769</v>
      </c>
    </row>
    <row r="272" spans="1:19" x14ac:dyDescent="0.3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  <c r="L272" t="str">
        <f>VLOOKUP(D272,Products!$A:$F,3,FALSE)</f>
        <v>Apparel</v>
      </c>
      <c r="M272" t="b">
        <f>VLOOKUP(D272,Products!$A:$F,6,FALSE)</f>
        <v>1</v>
      </c>
      <c r="N272">
        <f>VLOOKUP(D272,Products!$A:$F,4,FALSE)</f>
        <v>1886</v>
      </c>
      <c r="O272" t="str">
        <f>VLOOKUP(C272,Customers!$A:$F,5,FALSE)</f>
        <v>Retail</v>
      </c>
      <c r="P272">
        <f>VLOOKUP(C272,Customers!$A:$F,3,FALSE)</f>
        <v>49</v>
      </c>
      <c r="Q272" t="str">
        <f>VLOOKUP(E272,Sales_Reps!$A:$E,3,FALSE)</f>
        <v>North</v>
      </c>
      <c r="R272" t="str">
        <f>VLOOKUP(E272,Sales_Reps!$A:$E,2,FALSE)</f>
        <v>Vikram Patel</v>
      </c>
      <c r="S272">
        <f t="shared" si="4"/>
        <v>0.4031645569620253</v>
      </c>
    </row>
    <row r="273" spans="1:19" x14ac:dyDescent="0.3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  <c r="L273" t="str">
        <f>VLOOKUP(D273,Products!$A:$F,3,FALSE)</f>
        <v>Electronics</v>
      </c>
      <c r="M273" t="b">
        <f>VLOOKUP(D273,Products!$A:$F,6,FALSE)</f>
        <v>1</v>
      </c>
      <c r="N273">
        <f>VLOOKUP(D273,Products!$A:$F,4,FALSE)</f>
        <v>1559</v>
      </c>
      <c r="O273" t="str">
        <f>VLOOKUP(C273,Customers!$A:$F,5,FALSE)</f>
        <v>SMB</v>
      </c>
      <c r="P273">
        <f>VLOOKUP(C273,Customers!$A:$F,3,FALSE)</f>
        <v>43</v>
      </c>
      <c r="Q273" t="str">
        <f>VLOOKUP(E273,Sales_Reps!$A:$E,3,FALSE)</f>
        <v>North</v>
      </c>
      <c r="R273" t="str">
        <f>VLOOKUP(E273,Sales_Reps!$A:$E,2,FALSE)</f>
        <v>Suresh Menon</v>
      </c>
      <c r="S273">
        <f t="shared" si="4"/>
        <v>0.59715762273901807</v>
      </c>
    </row>
    <row r="274" spans="1:19" x14ac:dyDescent="0.3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  <c r="L274" t="str">
        <f>VLOOKUP(D274,Products!$A:$F,3,FALSE)</f>
        <v>Home</v>
      </c>
      <c r="M274" t="b">
        <f>VLOOKUP(D274,Products!$A:$F,6,FALSE)</f>
        <v>1</v>
      </c>
      <c r="N274">
        <f>VLOOKUP(D274,Products!$A:$F,4,FALSE)</f>
        <v>329</v>
      </c>
      <c r="O274" t="str">
        <f>VLOOKUP(C274,Customers!$A:$F,5,FALSE)</f>
        <v>Retail</v>
      </c>
      <c r="P274">
        <f>VLOOKUP(C274,Customers!$A:$F,3,FALSE)</f>
        <v>43</v>
      </c>
      <c r="Q274" t="str">
        <f>VLOOKUP(E274,Sales_Reps!$A:$E,3,FALSE)</f>
        <v>West</v>
      </c>
      <c r="R274" t="str">
        <f>VLOOKUP(E274,Sales_Reps!$A:$E,2,FALSE)</f>
        <v>Kiran Bhatt</v>
      </c>
      <c r="S274">
        <f t="shared" si="4"/>
        <v>0.50151515151515147</v>
      </c>
    </row>
    <row r="275" spans="1:19" x14ac:dyDescent="0.3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  <c r="L275" t="str">
        <f>VLOOKUP(D275,Products!$A:$F,3,FALSE)</f>
        <v>Grocery</v>
      </c>
      <c r="M275" t="b">
        <f>VLOOKUP(D275,Products!$A:$F,6,FALSE)</f>
        <v>1</v>
      </c>
      <c r="N275">
        <f>VLOOKUP(D275,Products!$A:$F,4,FALSE)</f>
        <v>2911</v>
      </c>
      <c r="O275" t="str">
        <f>VLOOKUP(C275,Customers!$A:$F,5,FALSE)</f>
        <v>Corporate</v>
      </c>
      <c r="P275">
        <f>VLOOKUP(C275,Customers!$A:$F,3,FALSE)</f>
        <v>24</v>
      </c>
      <c r="Q275" t="str">
        <f>VLOOKUP(E275,Sales_Reps!$A:$E,3,FALSE)</f>
        <v>South</v>
      </c>
      <c r="R275" t="str">
        <f>VLOOKUP(E275,Sales_Reps!$A:$E,2,FALSE)</f>
        <v>Sanjay Kapoor</v>
      </c>
      <c r="S275">
        <f t="shared" si="4"/>
        <v>0.28300492610837441</v>
      </c>
    </row>
    <row r="276" spans="1:19" x14ac:dyDescent="0.3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  <c r="L276" t="str">
        <f>VLOOKUP(D276,Products!$A:$F,3,FALSE)</f>
        <v>Home</v>
      </c>
      <c r="M276" t="b">
        <f>VLOOKUP(D276,Products!$A:$F,6,FALSE)</f>
        <v>1</v>
      </c>
      <c r="N276">
        <f>VLOOKUP(D276,Products!$A:$F,4,FALSE)</f>
        <v>2459</v>
      </c>
      <c r="O276" t="str">
        <f>VLOOKUP(C276,Customers!$A:$F,5,FALSE)</f>
        <v>SMB</v>
      </c>
      <c r="P276">
        <f>VLOOKUP(C276,Customers!$A:$F,3,FALSE)</f>
        <v>38</v>
      </c>
      <c r="Q276" t="str">
        <f>VLOOKUP(E276,Sales_Reps!$A:$E,3,FALSE)</f>
        <v>South</v>
      </c>
      <c r="R276" t="str">
        <f>VLOOKUP(E276,Sales_Reps!$A:$E,2,FALSE)</f>
        <v>Anjali Chopra</v>
      </c>
      <c r="S276">
        <f t="shared" si="4"/>
        <v>0.51594488188976373</v>
      </c>
    </row>
    <row r="277" spans="1:19" x14ac:dyDescent="0.3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  <c r="L277" t="str">
        <f>VLOOKUP(D277,Products!$A:$F,3,FALSE)</f>
        <v>Electronics</v>
      </c>
      <c r="M277" t="b">
        <f>VLOOKUP(D277,Products!$A:$F,6,FALSE)</f>
        <v>1</v>
      </c>
      <c r="N277">
        <f>VLOOKUP(D277,Products!$A:$F,4,FALSE)</f>
        <v>1665</v>
      </c>
      <c r="O277" t="str">
        <f>VLOOKUP(C277,Customers!$A:$F,5,FALSE)</f>
        <v>Retail</v>
      </c>
      <c r="P277">
        <f>VLOOKUP(C277,Customers!$A:$F,3,FALSE)</f>
        <v>46</v>
      </c>
      <c r="Q277" t="str">
        <f>VLOOKUP(E277,Sales_Reps!$A:$E,3,FALSE)</f>
        <v>North</v>
      </c>
      <c r="R277" t="str">
        <f>VLOOKUP(E277,Sales_Reps!$A:$E,2,FALSE)</f>
        <v>Vikram Patel</v>
      </c>
      <c r="S277">
        <f t="shared" si="4"/>
        <v>0.53361344537815125</v>
      </c>
    </row>
    <row r="278" spans="1:19" x14ac:dyDescent="0.3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  <c r="L278" t="str">
        <f>VLOOKUP(D278,Products!$A:$F,3,FALSE)</f>
        <v>Apparel</v>
      </c>
      <c r="M278" t="b">
        <f>VLOOKUP(D278,Products!$A:$F,6,FALSE)</f>
        <v>1</v>
      </c>
      <c r="N278">
        <f>VLOOKUP(D278,Products!$A:$F,4,FALSE)</f>
        <v>396</v>
      </c>
      <c r="O278" t="str">
        <f>VLOOKUP(C278,Customers!$A:$F,5,FALSE)</f>
        <v>SMB</v>
      </c>
      <c r="P278">
        <f>VLOOKUP(C278,Customers!$A:$F,3,FALSE)</f>
        <v>27</v>
      </c>
      <c r="Q278" t="str">
        <f>VLOOKUP(E278,Sales_Reps!$A:$E,3,FALSE)</f>
        <v>East</v>
      </c>
      <c r="R278" t="str">
        <f>VLOOKUP(E278,Sales_Reps!$A:$E,2,FALSE)</f>
        <v>Meera Iyer</v>
      </c>
      <c r="S278">
        <f t="shared" si="4"/>
        <v>0.36129032258064514</v>
      </c>
    </row>
    <row r="279" spans="1:19" x14ac:dyDescent="0.3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  <c r="L279" t="str">
        <f>VLOOKUP(D279,Products!$A:$F,3,FALSE)</f>
        <v>Apparel</v>
      </c>
      <c r="M279" t="b">
        <f>VLOOKUP(D279,Products!$A:$F,6,FALSE)</f>
        <v>1</v>
      </c>
      <c r="N279">
        <f>VLOOKUP(D279,Products!$A:$F,4,FALSE)</f>
        <v>1748</v>
      </c>
      <c r="O279" t="str">
        <f>VLOOKUP(C279,Customers!$A:$F,5,FALSE)</f>
        <v>Retail</v>
      </c>
      <c r="P279">
        <f>VLOOKUP(C279,Customers!$A:$F,3,FALSE)</f>
        <v>59</v>
      </c>
      <c r="Q279" t="str">
        <f>VLOOKUP(E279,Sales_Reps!$A:$E,3,FALSE)</f>
        <v>South</v>
      </c>
      <c r="R279" t="str">
        <f>VLOOKUP(E279,Sales_Reps!$A:$E,2,FALSE)</f>
        <v>Sanjay Kapoor</v>
      </c>
      <c r="S279">
        <f t="shared" si="4"/>
        <v>0.49333333333333335</v>
      </c>
    </row>
    <row r="280" spans="1:19" x14ac:dyDescent="0.3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  <c r="L280" t="str">
        <f>VLOOKUP(D280,Products!$A:$F,3,FALSE)</f>
        <v>Beauty</v>
      </c>
      <c r="M280" t="b">
        <f>VLOOKUP(D280,Products!$A:$F,6,FALSE)</f>
        <v>1</v>
      </c>
      <c r="N280">
        <f>VLOOKUP(D280,Products!$A:$F,4,FALSE)</f>
        <v>2237</v>
      </c>
      <c r="O280" t="str">
        <f>VLOOKUP(C280,Customers!$A:$F,5,FALSE)</f>
        <v>SMB</v>
      </c>
      <c r="P280">
        <f>VLOOKUP(C280,Customers!$A:$F,3,FALSE)</f>
        <v>55</v>
      </c>
      <c r="Q280" t="str">
        <f>VLOOKUP(E280,Sales_Reps!$A:$E,3,FALSE)</f>
        <v>North</v>
      </c>
      <c r="R280" t="str">
        <f>VLOOKUP(E280,Sales_Reps!$A:$E,2,FALSE)</f>
        <v>Neha Desai</v>
      </c>
      <c r="S280">
        <f t="shared" si="4"/>
        <v>0.56137254901960787</v>
      </c>
    </row>
    <row r="281" spans="1:19" x14ac:dyDescent="0.3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  <c r="L281" t="str">
        <f>VLOOKUP(D281,Products!$A:$F,3,FALSE)</f>
        <v>Electronics</v>
      </c>
      <c r="M281" t="b">
        <f>VLOOKUP(D281,Products!$A:$F,6,FALSE)</f>
        <v>1</v>
      </c>
      <c r="N281">
        <f>VLOOKUP(D281,Products!$A:$F,4,FALSE)</f>
        <v>1559</v>
      </c>
      <c r="O281" t="str">
        <f>VLOOKUP(C281,Customers!$A:$F,5,FALSE)</f>
        <v>Retail</v>
      </c>
      <c r="P281">
        <f>VLOOKUP(C281,Customers!$A:$F,3,FALSE)</f>
        <v>55</v>
      </c>
      <c r="Q281" t="str">
        <f>VLOOKUP(E281,Sales_Reps!$A:$E,3,FALSE)</f>
        <v>North</v>
      </c>
      <c r="R281" t="str">
        <f>VLOOKUP(E281,Sales_Reps!$A:$E,2,FALSE)</f>
        <v>Amit Singh</v>
      </c>
      <c r="S281">
        <f t="shared" si="4"/>
        <v>0.59715762273901807</v>
      </c>
    </row>
    <row r="282" spans="1:19" x14ac:dyDescent="0.3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  <c r="L282" t="str">
        <f>VLOOKUP(D282,Products!$A:$F,3,FALSE)</f>
        <v>Electronics</v>
      </c>
      <c r="M282" t="b">
        <f>VLOOKUP(D282,Products!$A:$F,6,FALSE)</f>
        <v>1</v>
      </c>
      <c r="N282">
        <f>VLOOKUP(D282,Products!$A:$F,4,FALSE)</f>
        <v>517</v>
      </c>
      <c r="O282" t="str">
        <f>VLOOKUP(C282,Customers!$A:$F,5,FALSE)</f>
        <v>Corporate</v>
      </c>
      <c r="P282">
        <f>VLOOKUP(C282,Customers!$A:$F,3,FALSE)</f>
        <v>40</v>
      </c>
      <c r="Q282" t="str">
        <f>VLOOKUP(E282,Sales_Reps!$A:$E,3,FALSE)</f>
        <v>West</v>
      </c>
      <c r="R282" t="str">
        <f>VLOOKUP(E282,Sales_Reps!$A:$E,2,FALSE)</f>
        <v>Arun Iyer</v>
      </c>
      <c r="S282">
        <f t="shared" si="4"/>
        <v>0.57622950819672136</v>
      </c>
    </row>
    <row r="283" spans="1:19" x14ac:dyDescent="0.3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  <c r="L283" t="str">
        <f>VLOOKUP(D283,Products!$A:$F,3,FALSE)</f>
        <v>Home</v>
      </c>
      <c r="M283" t="b">
        <f>VLOOKUP(D283,Products!$A:$F,6,FALSE)</f>
        <v>1</v>
      </c>
      <c r="N283">
        <f>VLOOKUP(D283,Products!$A:$F,4,FALSE)</f>
        <v>2549</v>
      </c>
      <c r="O283" t="str">
        <f>VLOOKUP(C283,Customers!$A:$F,5,FALSE)</f>
        <v>Retail</v>
      </c>
      <c r="P283">
        <f>VLOOKUP(C283,Customers!$A:$F,3,FALSE)</f>
        <v>32</v>
      </c>
      <c r="Q283" t="str">
        <f>VLOOKUP(E283,Sales_Reps!$A:$E,3,FALSE)</f>
        <v>East</v>
      </c>
      <c r="R283" t="str">
        <f>VLOOKUP(E283,Sales_Reps!$A:$E,2,FALSE)</f>
        <v>Vinod Kumar</v>
      </c>
      <c r="S283">
        <f t="shared" si="4"/>
        <v>0.53570127504553733</v>
      </c>
    </row>
    <row r="284" spans="1:19" x14ac:dyDescent="0.3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  <c r="L284" t="str">
        <f>VLOOKUP(D284,Products!$A:$F,3,FALSE)</f>
        <v>Beauty</v>
      </c>
      <c r="M284" t="b">
        <f>VLOOKUP(D284,Products!$A:$F,6,FALSE)</f>
        <v>1</v>
      </c>
      <c r="N284">
        <f>VLOOKUP(D284,Products!$A:$F,4,FALSE)</f>
        <v>1222</v>
      </c>
      <c r="O284" t="str">
        <f>VLOOKUP(C284,Customers!$A:$F,5,FALSE)</f>
        <v>Retail</v>
      </c>
      <c r="P284">
        <f>VLOOKUP(C284,Customers!$A:$F,3,FALSE)</f>
        <v>23</v>
      </c>
      <c r="Q284" t="str">
        <f>VLOOKUP(E284,Sales_Reps!$A:$E,3,FALSE)</f>
        <v>North</v>
      </c>
      <c r="R284" t="str">
        <f>VLOOKUP(E284,Sales_Reps!$A:$E,2,FALSE)</f>
        <v>Rajesh Malhotra</v>
      </c>
      <c r="S284">
        <f t="shared" si="4"/>
        <v>0.2593939393939394</v>
      </c>
    </row>
    <row r="285" spans="1:19" x14ac:dyDescent="0.3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  <c r="L285" t="str">
        <f>VLOOKUP(D285,Products!$A:$F,3,FALSE)</f>
        <v>Electronics</v>
      </c>
      <c r="M285" t="b">
        <f>VLOOKUP(D285,Products!$A:$F,6,FALSE)</f>
        <v>0</v>
      </c>
      <c r="N285">
        <f>VLOOKUP(D285,Products!$A:$F,4,FALSE)</f>
        <v>1259</v>
      </c>
      <c r="O285" t="str">
        <f>VLOOKUP(C285,Customers!$A:$F,5,FALSE)</f>
        <v>Retail</v>
      </c>
      <c r="P285">
        <f>VLOOKUP(C285,Customers!$A:$F,3,FALSE)</f>
        <v>50</v>
      </c>
      <c r="Q285" t="str">
        <f>VLOOKUP(E285,Sales_Reps!$A:$E,3,FALSE)</f>
        <v>North</v>
      </c>
      <c r="R285" t="str">
        <f>VLOOKUP(E285,Sales_Reps!$A:$E,2,FALSE)</f>
        <v>Amit Singh</v>
      </c>
      <c r="S285">
        <f t="shared" si="4"/>
        <v>0.52669172932330832</v>
      </c>
    </row>
    <row r="286" spans="1:19" x14ac:dyDescent="0.3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  <c r="L286" t="str">
        <f>VLOOKUP(D286,Products!$A:$F,3,FALSE)</f>
        <v>Grocery</v>
      </c>
      <c r="M286" t="b">
        <f>VLOOKUP(D286,Products!$A:$F,6,FALSE)</f>
        <v>1</v>
      </c>
      <c r="N286">
        <f>VLOOKUP(D286,Products!$A:$F,4,FALSE)</f>
        <v>1010</v>
      </c>
      <c r="O286" t="str">
        <f>VLOOKUP(C286,Customers!$A:$F,5,FALSE)</f>
        <v>Corporate</v>
      </c>
      <c r="P286">
        <f>VLOOKUP(C286,Customers!$A:$F,3,FALSE)</f>
        <v>59</v>
      </c>
      <c r="Q286" t="str">
        <f>VLOOKUP(E286,Sales_Reps!$A:$E,3,FALSE)</f>
        <v>North</v>
      </c>
      <c r="R286" t="str">
        <f>VLOOKUP(E286,Sales_Reps!$A:$E,2,FALSE)</f>
        <v>Amit Singh</v>
      </c>
      <c r="S286">
        <f t="shared" si="4"/>
        <v>0.54298642533936647</v>
      </c>
    </row>
    <row r="287" spans="1:19" x14ac:dyDescent="0.3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  <c r="L287" t="str">
        <f>VLOOKUP(D287,Products!$A:$F,3,FALSE)</f>
        <v>Electronics</v>
      </c>
      <c r="M287" t="b">
        <f>VLOOKUP(D287,Products!$A:$F,6,FALSE)</f>
        <v>1</v>
      </c>
      <c r="N287">
        <f>VLOOKUP(D287,Products!$A:$F,4,FALSE)</f>
        <v>1052</v>
      </c>
      <c r="O287" t="str">
        <f>VLOOKUP(C287,Customers!$A:$F,5,FALSE)</f>
        <v>SMB</v>
      </c>
      <c r="P287">
        <f>VLOOKUP(C287,Customers!$A:$F,3,FALSE)</f>
        <v>55</v>
      </c>
      <c r="Q287" t="str">
        <f>VLOOKUP(E287,Sales_Reps!$A:$E,3,FALSE)</f>
        <v>North</v>
      </c>
      <c r="R287" t="str">
        <f>VLOOKUP(E287,Sales_Reps!$A:$E,2,FALSE)</f>
        <v>Rajesh Malhotra</v>
      </c>
      <c r="S287">
        <f t="shared" si="4"/>
        <v>0.5953846153846154</v>
      </c>
    </row>
    <row r="288" spans="1:19" x14ac:dyDescent="0.3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  <c r="L288" t="str">
        <f>VLOOKUP(D288,Products!$A:$F,3,FALSE)</f>
        <v>Beauty</v>
      </c>
      <c r="M288" t="b">
        <f>VLOOKUP(D288,Products!$A:$F,6,FALSE)</f>
        <v>1</v>
      </c>
      <c r="N288">
        <f>VLOOKUP(D288,Products!$A:$F,4,FALSE)</f>
        <v>1626</v>
      </c>
      <c r="O288" t="str">
        <f>VLOOKUP(C288,Customers!$A:$F,5,FALSE)</f>
        <v>Retail</v>
      </c>
      <c r="P288">
        <f>VLOOKUP(C288,Customers!$A:$F,3,FALSE)</f>
        <v>27</v>
      </c>
      <c r="Q288" t="str">
        <f>VLOOKUP(E288,Sales_Reps!$A:$E,3,FALSE)</f>
        <v>West</v>
      </c>
      <c r="R288" t="str">
        <f>VLOOKUP(E288,Sales_Reps!$A:$E,2,FALSE)</f>
        <v>Ashok Reddy</v>
      </c>
      <c r="S288">
        <f t="shared" si="4"/>
        <v>0.46158940397350995</v>
      </c>
    </row>
    <row r="289" spans="1:19" x14ac:dyDescent="0.3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  <c r="L289" t="str">
        <f>VLOOKUP(D289,Products!$A:$F,3,FALSE)</f>
        <v>Home</v>
      </c>
      <c r="M289" t="b">
        <f>VLOOKUP(D289,Products!$A:$F,6,FALSE)</f>
        <v>1</v>
      </c>
      <c r="N289">
        <f>VLOOKUP(D289,Products!$A:$F,4,FALSE)</f>
        <v>288</v>
      </c>
      <c r="O289" t="str">
        <f>VLOOKUP(C289,Customers!$A:$F,5,FALSE)</f>
        <v>Corporate</v>
      </c>
      <c r="P289">
        <f>VLOOKUP(C289,Customers!$A:$F,3,FALSE)</f>
        <v>33</v>
      </c>
      <c r="Q289" t="str">
        <f>VLOOKUP(E289,Sales_Reps!$A:$E,3,FALSE)</f>
        <v>North</v>
      </c>
      <c r="R289" t="str">
        <f>VLOOKUP(E289,Sales_Reps!$A:$E,2,FALSE)</f>
        <v>Vikram Patel</v>
      </c>
      <c r="S289">
        <f t="shared" si="4"/>
        <v>0.22162162162162163</v>
      </c>
    </row>
    <row r="290" spans="1:19" x14ac:dyDescent="0.3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  <c r="L290" t="str">
        <f>VLOOKUP(D290,Products!$A:$F,3,FALSE)</f>
        <v>Electronics</v>
      </c>
      <c r="M290" t="b">
        <f>VLOOKUP(D290,Products!$A:$F,6,FALSE)</f>
        <v>1</v>
      </c>
      <c r="N290">
        <f>VLOOKUP(D290,Products!$A:$F,4,FALSE)</f>
        <v>2405</v>
      </c>
      <c r="O290" t="str">
        <f>VLOOKUP(C290,Customers!$A:$F,5,FALSE)</f>
        <v>Retail</v>
      </c>
      <c r="P290">
        <f>VLOOKUP(C290,Customers!$A:$F,3,FALSE)</f>
        <v>53</v>
      </c>
      <c r="Q290" t="str">
        <f>VLOOKUP(E290,Sales_Reps!$A:$E,3,FALSE)</f>
        <v>North</v>
      </c>
      <c r="R290" t="str">
        <f>VLOOKUP(E290,Sales_Reps!$A:$E,2,FALSE)</f>
        <v>Neha Desai</v>
      </c>
      <c r="S290">
        <f t="shared" si="4"/>
        <v>0.54878048780487809</v>
      </c>
    </row>
    <row r="291" spans="1:19" x14ac:dyDescent="0.3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  <c r="L291" t="str">
        <f>VLOOKUP(D291,Products!$A:$F,3,FALSE)</f>
        <v>Apparel</v>
      </c>
      <c r="M291" t="b">
        <f>VLOOKUP(D291,Products!$A:$F,6,FALSE)</f>
        <v>1</v>
      </c>
      <c r="N291">
        <f>VLOOKUP(D291,Products!$A:$F,4,FALSE)</f>
        <v>2629</v>
      </c>
      <c r="O291" t="str">
        <f>VLOOKUP(C291,Customers!$A:$F,5,FALSE)</f>
        <v>Retail</v>
      </c>
      <c r="P291">
        <f>VLOOKUP(C291,Customers!$A:$F,3,FALSE)</f>
        <v>37</v>
      </c>
      <c r="Q291" t="str">
        <f>VLOOKUP(E291,Sales_Reps!$A:$E,3,FALSE)</f>
        <v>West</v>
      </c>
      <c r="R291" t="str">
        <f>VLOOKUP(E291,Sales_Reps!$A:$E,2,FALSE)</f>
        <v>Kiran Bhatt</v>
      </c>
      <c r="S291">
        <f t="shared" si="4"/>
        <v>0.26151685393258428</v>
      </c>
    </row>
    <row r="292" spans="1:19" x14ac:dyDescent="0.3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  <c r="L292" t="str">
        <f>VLOOKUP(D292,Products!$A:$F,3,FALSE)</f>
        <v>Sports</v>
      </c>
      <c r="M292" t="b">
        <f>VLOOKUP(D292,Products!$A:$F,6,FALSE)</f>
        <v>1</v>
      </c>
      <c r="N292">
        <f>VLOOKUP(D292,Products!$A:$F,4,FALSE)</f>
        <v>516</v>
      </c>
      <c r="O292" t="str">
        <f>VLOOKUP(C292,Customers!$A:$F,5,FALSE)</f>
        <v>Retail</v>
      </c>
      <c r="P292">
        <f>VLOOKUP(C292,Customers!$A:$F,3,FALSE)</f>
        <v>34</v>
      </c>
      <c r="Q292" t="str">
        <f>VLOOKUP(E292,Sales_Reps!$A:$E,3,FALSE)</f>
        <v>West</v>
      </c>
      <c r="R292" t="str">
        <f>VLOOKUP(E292,Sales_Reps!$A:$E,2,FALSE)</f>
        <v>Kiran Bhatt</v>
      </c>
      <c r="S292">
        <f t="shared" si="4"/>
        <v>0.4891089108910891</v>
      </c>
    </row>
    <row r="293" spans="1:19" x14ac:dyDescent="0.3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  <c r="L293" t="str">
        <f>VLOOKUP(D293,Products!$A:$F,3,FALSE)</f>
        <v>Sports</v>
      </c>
      <c r="M293" t="b">
        <f>VLOOKUP(D293,Products!$A:$F,6,FALSE)</f>
        <v>1</v>
      </c>
      <c r="N293">
        <f>VLOOKUP(D293,Products!$A:$F,4,FALSE)</f>
        <v>2827</v>
      </c>
      <c r="O293" t="str">
        <f>VLOOKUP(C293,Customers!$A:$F,5,FALSE)</f>
        <v>Corporate</v>
      </c>
      <c r="P293">
        <f>VLOOKUP(C293,Customers!$A:$F,3,FALSE)</f>
        <v>41</v>
      </c>
      <c r="Q293" t="str">
        <f>VLOOKUP(E293,Sales_Reps!$A:$E,3,FALSE)</f>
        <v>North</v>
      </c>
      <c r="R293" t="str">
        <f>VLOOKUP(E293,Sales_Reps!$A:$E,2,FALSE)</f>
        <v>Neha Desai</v>
      </c>
      <c r="S293">
        <f t="shared" si="4"/>
        <v>0.5926512968299712</v>
      </c>
    </row>
    <row r="294" spans="1:19" x14ac:dyDescent="0.3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  <c r="L294" t="str">
        <f>VLOOKUP(D294,Products!$A:$F,3,FALSE)</f>
        <v>Apparel</v>
      </c>
      <c r="M294" t="b">
        <f>VLOOKUP(D294,Products!$A:$F,6,FALSE)</f>
        <v>1</v>
      </c>
      <c r="N294">
        <f>VLOOKUP(D294,Products!$A:$F,4,FALSE)</f>
        <v>1886</v>
      </c>
      <c r="O294" t="str">
        <f>VLOOKUP(C294,Customers!$A:$F,5,FALSE)</f>
        <v>Retail</v>
      </c>
      <c r="P294">
        <f>VLOOKUP(C294,Customers!$A:$F,3,FALSE)</f>
        <v>46</v>
      </c>
      <c r="Q294" t="str">
        <f>VLOOKUP(E294,Sales_Reps!$A:$E,3,FALSE)</f>
        <v>South</v>
      </c>
      <c r="R294" t="str">
        <f>VLOOKUP(E294,Sales_Reps!$A:$E,2,FALSE)</f>
        <v>Deepak Shah</v>
      </c>
      <c r="S294">
        <f t="shared" si="4"/>
        <v>0.4031645569620253</v>
      </c>
    </row>
    <row r="295" spans="1:19" x14ac:dyDescent="0.3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  <c r="L295" t="str">
        <f>VLOOKUP(D295,Products!$A:$F,3,FALSE)</f>
        <v>Grocery</v>
      </c>
      <c r="M295" t="b">
        <f>VLOOKUP(D295,Products!$A:$F,6,FALSE)</f>
        <v>0</v>
      </c>
      <c r="N295">
        <f>VLOOKUP(D295,Products!$A:$F,4,FALSE)</f>
        <v>2214</v>
      </c>
      <c r="O295" t="str">
        <f>VLOOKUP(C295,Customers!$A:$F,5,FALSE)</f>
        <v>Retail</v>
      </c>
      <c r="P295">
        <f>VLOOKUP(C295,Customers!$A:$F,3,FALSE)</f>
        <v>49</v>
      </c>
      <c r="Q295" t="str">
        <f>VLOOKUP(E295,Sales_Reps!$A:$E,3,FALSE)</f>
        <v>North</v>
      </c>
      <c r="R295" t="str">
        <f>VLOOKUP(E295,Sales_Reps!$A:$E,2,FALSE)</f>
        <v>Kavita Patel</v>
      </c>
      <c r="S295">
        <f t="shared" si="4"/>
        <v>0.39508196721311473</v>
      </c>
    </row>
    <row r="296" spans="1:19" x14ac:dyDescent="0.3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  <c r="L296" t="str">
        <f>VLOOKUP(D296,Products!$A:$F,3,FALSE)</f>
        <v>Grocery</v>
      </c>
      <c r="M296" t="b">
        <f>VLOOKUP(D296,Products!$A:$F,6,FALSE)</f>
        <v>1</v>
      </c>
      <c r="N296">
        <f>VLOOKUP(D296,Products!$A:$F,4,FALSE)</f>
        <v>1203</v>
      </c>
      <c r="O296" t="str">
        <f>VLOOKUP(C296,Customers!$A:$F,5,FALSE)</f>
        <v>Retail</v>
      </c>
      <c r="P296">
        <f>VLOOKUP(C296,Customers!$A:$F,3,FALSE)</f>
        <v>25</v>
      </c>
      <c r="Q296" t="str">
        <f>VLOOKUP(E296,Sales_Reps!$A:$E,3,FALSE)</f>
        <v>North</v>
      </c>
      <c r="R296" t="str">
        <f>VLOOKUP(E296,Sales_Reps!$A:$E,2,FALSE)</f>
        <v>Vikram Patel</v>
      </c>
      <c r="S296">
        <f t="shared" si="4"/>
        <v>0.47004405286343615</v>
      </c>
    </row>
    <row r="297" spans="1:19" x14ac:dyDescent="0.3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  <c r="L297" t="str">
        <f>VLOOKUP(D297,Products!$A:$F,3,FALSE)</f>
        <v>Sports</v>
      </c>
      <c r="M297" t="b">
        <f>VLOOKUP(D297,Products!$A:$F,6,FALSE)</f>
        <v>1</v>
      </c>
      <c r="N297">
        <f>VLOOKUP(D297,Products!$A:$F,4,FALSE)</f>
        <v>1860</v>
      </c>
      <c r="O297" t="str">
        <f>VLOOKUP(C297,Customers!$A:$F,5,FALSE)</f>
        <v>Retail</v>
      </c>
      <c r="P297">
        <f>VLOOKUP(C297,Customers!$A:$F,3,FALSE)</f>
        <v>53</v>
      </c>
      <c r="Q297" t="str">
        <f>VLOOKUP(E297,Sales_Reps!$A:$E,3,FALSE)</f>
        <v>West</v>
      </c>
      <c r="R297" t="str">
        <f>VLOOKUP(E297,Sales_Reps!$A:$E,2,FALSE)</f>
        <v>Ashok Reddy</v>
      </c>
      <c r="S297">
        <f t="shared" si="4"/>
        <v>0.50793650793650791</v>
      </c>
    </row>
    <row r="298" spans="1:19" x14ac:dyDescent="0.3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  <c r="L298" t="str">
        <f>VLOOKUP(D298,Products!$A:$F,3,FALSE)</f>
        <v>Apparel</v>
      </c>
      <c r="M298" t="b">
        <f>VLOOKUP(D298,Products!$A:$F,6,FALSE)</f>
        <v>1</v>
      </c>
      <c r="N298">
        <f>VLOOKUP(D298,Products!$A:$F,4,FALSE)</f>
        <v>2611</v>
      </c>
      <c r="O298" t="str">
        <f>VLOOKUP(C298,Customers!$A:$F,5,FALSE)</f>
        <v>SMB</v>
      </c>
      <c r="P298">
        <f>VLOOKUP(C298,Customers!$A:$F,3,FALSE)</f>
        <v>65</v>
      </c>
      <c r="Q298" t="str">
        <f>VLOOKUP(E298,Sales_Reps!$A:$E,3,FALSE)</f>
        <v>South</v>
      </c>
      <c r="R298" t="str">
        <f>VLOOKUP(E298,Sales_Reps!$A:$E,2,FALSE)</f>
        <v>Pooja Nair</v>
      </c>
      <c r="S298">
        <f t="shared" si="4"/>
        <v>0.28269230769230769</v>
      </c>
    </row>
    <row r="299" spans="1:19" x14ac:dyDescent="0.3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  <c r="L299" t="str">
        <f>VLOOKUP(D299,Products!$A:$F,3,FALSE)</f>
        <v>Electronics</v>
      </c>
      <c r="M299" t="b">
        <f>VLOOKUP(D299,Products!$A:$F,6,FALSE)</f>
        <v>1</v>
      </c>
      <c r="N299">
        <f>VLOOKUP(D299,Products!$A:$F,4,FALSE)</f>
        <v>517</v>
      </c>
      <c r="O299" t="str">
        <f>VLOOKUP(C299,Customers!$A:$F,5,FALSE)</f>
        <v>Retail</v>
      </c>
      <c r="P299">
        <f>VLOOKUP(C299,Customers!$A:$F,3,FALSE)</f>
        <v>31</v>
      </c>
      <c r="Q299" t="str">
        <f>VLOOKUP(E299,Sales_Reps!$A:$E,3,FALSE)</f>
        <v>South</v>
      </c>
      <c r="R299" t="str">
        <f>VLOOKUP(E299,Sales_Reps!$A:$E,2,FALSE)</f>
        <v>Manoj Patel</v>
      </c>
      <c r="S299">
        <f t="shared" si="4"/>
        <v>0.57622950819672136</v>
      </c>
    </row>
    <row r="300" spans="1:19" x14ac:dyDescent="0.3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  <c r="L300" t="str">
        <f>VLOOKUP(D300,Products!$A:$F,3,FALSE)</f>
        <v>Apparel</v>
      </c>
      <c r="M300" t="b">
        <f>VLOOKUP(D300,Products!$A:$F,6,FALSE)</f>
        <v>0</v>
      </c>
      <c r="N300">
        <f>VLOOKUP(D300,Products!$A:$F,4,FALSE)</f>
        <v>1075</v>
      </c>
      <c r="O300" t="str">
        <f>VLOOKUP(C300,Customers!$A:$F,5,FALSE)</f>
        <v>Retail</v>
      </c>
      <c r="P300">
        <f>VLOOKUP(C300,Customers!$A:$F,3,FALSE)</f>
        <v>40</v>
      </c>
      <c r="Q300" t="str">
        <f>VLOOKUP(E300,Sales_Reps!$A:$E,3,FALSE)</f>
        <v>West</v>
      </c>
      <c r="R300" t="str">
        <f>VLOOKUP(E300,Sales_Reps!$A:$E,2,FALSE)</f>
        <v>Kiran Bhatt</v>
      </c>
      <c r="S300">
        <f t="shared" si="4"/>
        <v>0.57171314741035861</v>
      </c>
    </row>
    <row r="301" spans="1:19" x14ac:dyDescent="0.3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  <c r="L301" t="str">
        <f>VLOOKUP(D301,Products!$A:$F,3,FALSE)</f>
        <v>Home</v>
      </c>
      <c r="M301" t="b">
        <f>VLOOKUP(D301,Products!$A:$F,6,FALSE)</f>
        <v>1</v>
      </c>
      <c r="N301">
        <f>VLOOKUP(D301,Products!$A:$F,4,FALSE)</f>
        <v>519</v>
      </c>
      <c r="O301" t="str">
        <f>VLOOKUP(C301,Customers!$A:$F,5,FALSE)</f>
        <v>SMB</v>
      </c>
      <c r="P301">
        <f>VLOOKUP(C301,Customers!$A:$F,3,FALSE)</f>
        <v>61</v>
      </c>
      <c r="Q301" t="str">
        <f>VLOOKUP(E301,Sales_Reps!$A:$E,3,FALSE)</f>
        <v>North</v>
      </c>
      <c r="R301" t="str">
        <f>VLOOKUP(E301,Sales_Reps!$A:$E,2,FALSE)</f>
        <v>Priya Singh</v>
      </c>
      <c r="S301">
        <f t="shared" si="4"/>
        <v>0.51944444444444449</v>
      </c>
    </row>
    <row r="302" spans="1:19" x14ac:dyDescent="0.3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  <c r="L302" t="str">
        <f>VLOOKUP(D302,Products!$A:$F,3,FALSE)</f>
        <v>Home</v>
      </c>
      <c r="M302" t="b">
        <f>VLOOKUP(D302,Products!$A:$F,6,FALSE)</f>
        <v>1</v>
      </c>
      <c r="N302">
        <f>VLOOKUP(D302,Products!$A:$F,4,FALSE)</f>
        <v>1143</v>
      </c>
      <c r="O302" t="str">
        <f>VLOOKUP(C302,Customers!$A:$F,5,FALSE)</f>
        <v>Retail</v>
      </c>
      <c r="P302">
        <f>VLOOKUP(C302,Customers!$A:$F,3,FALSE)</f>
        <v>35</v>
      </c>
      <c r="Q302" t="str">
        <f>VLOOKUP(E302,Sales_Reps!$A:$E,3,FALSE)</f>
        <v>South</v>
      </c>
      <c r="R302" t="str">
        <f>VLOOKUP(E302,Sales_Reps!$A:$E,2,FALSE)</f>
        <v>Anjali Chopra</v>
      </c>
      <c r="S302">
        <f t="shared" si="4"/>
        <v>0.43694581280788175</v>
      </c>
    </row>
    <row r="303" spans="1:19" x14ac:dyDescent="0.3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  <c r="L303" t="str">
        <f>VLOOKUP(D303,Products!$A:$F,3,FALSE)</f>
        <v>Sports</v>
      </c>
      <c r="M303" t="b">
        <f>VLOOKUP(D303,Products!$A:$F,6,FALSE)</f>
        <v>1</v>
      </c>
      <c r="N303">
        <f>VLOOKUP(D303,Products!$A:$F,4,FALSE)</f>
        <v>1860</v>
      </c>
      <c r="O303" t="str">
        <f>VLOOKUP(C303,Customers!$A:$F,5,FALSE)</f>
        <v>Retail</v>
      </c>
      <c r="P303">
        <f>VLOOKUP(C303,Customers!$A:$F,3,FALSE)</f>
        <v>34</v>
      </c>
      <c r="Q303" t="str">
        <f>VLOOKUP(E303,Sales_Reps!$A:$E,3,FALSE)</f>
        <v>East</v>
      </c>
      <c r="R303" t="str">
        <f>VLOOKUP(E303,Sales_Reps!$A:$E,2,FALSE)</f>
        <v>Meera Iyer</v>
      </c>
      <c r="S303">
        <f t="shared" si="4"/>
        <v>0.50793650793650791</v>
      </c>
    </row>
    <row r="304" spans="1:19" x14ac:dyDescent="0.3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  <c r="L304" t="str">
        <f>VLOOKUP(D304,Products!$A:$F,3,FALSE)</f>
        <v>Apparel</v>
      </c>
      <c r="M304" t="b">
        <f>VLOOKUP(D304,Products!$A:$F,6,FALSE)</f>
        <v>1</v>
      </c>
      <c r="N304">
        <f>VLOOKUP(D304,Products!$A:$F,4,FALSE)</f>
        <v>1886</v>
      </c>
      <c r="O304" t="str">
        <f>VLOOKUP(C304,Customers!$A:$F,5,FALSE)</f>
        <v>SMB</v>
      </c>
      <c r="P304">
        <f>VLOOKUP(C304,Customers!$A:$F,3,FALSE)</f>
        <v>35</v>
      </c>
      <c r="Q304" t="str">
        <f>VLOOKUP(E304,Sales_Reps!$A:$E,3,FALSE)</f>
        <v>South</v>
      </c>
      <c r="R304" t="str">
        <f>VLOOKUP(E304,Sales_Reps!$A:$E,2,FALSE)</f>
        <v>Anjali Chopra</v>
      </c>
      <c r="S304">
        <f t="shared" si="4"/>
        <v>0.4031645569620253</v>
      </c>
    </row>
    <row r="305" spans="1:19" x14ac:dyDescent="0.3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  <c r="L305" t="str">
        <f>VLOOKUP(D305,Products!$A:$F,3,FALSE)</f>
        <v>Beauty</v>
      </c>
      <c r="M305" t="b">
        <f>VLOOKUP(D305,Products!$A:$F,6,FALSE)</f>
        <v>1</v>
      </c>
      <c r="N305">
        <f>VLOOKUP(D305,Products!$A:$F,4,FALSE)</f>
        <v>2768</v>
      </c>
      <c r="O305" t="str">
        <f>VLOOKUP(C305,Customers!$A:$F,5,FALSE)</f>
        <v>SMB</v>
      </c>
      <c r="P305">
        <f>VLOOKUP(C305,Customers!$A:$F,3,FALSE)</f>
        <v>43</v>
      </c>
      <c r="Q305" t="str">
        <f>VLOOKUP(E305,Sales_Reps!$A:$E,3,FALSE)</f>
        <v>South</v>
      </c>
      <c r="R305" t="str">
        <f>VLOOKUP(E305,Sales_Reps!$A:$E,2,FALSE)</f>
        <v>Divya Rao</v>
      </c>
      <c r="S305">
        <f t="shared" si="4"/>
        <v>0.43278688524590164</v>
      </c>
    </row>
    <row r="306" spans="1:19" x14ac:dyDescent="0.3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  <c r="L306" t="str">
        <f>VLOOKUP(D306,Products!$A:$F,3,FALSE)</f>
        <v>Home</v>
      </c>
      <c r="M306" t="b">
        <f>VLOOKUP(D306,Products!$A:$F,6,FALSE)</f>
        <v>1</v>
      </c>
      <c r="N306">
        <f>VLOOKUP(D306,Products!$A:$F,4,FALSE)</f>
        <v>2135</v>
      </c>
      <c r="O306" t="str">
        <f>VLOOKUP(C306,Customers!$A:$F,5,FALSE)</f>
        <v>Retail</v>
      </c>
      <c r="P306">
        <f>VLOOKUP(C306,Customers!$A:$F,3,FALSE)</f>
        <v>43</v>
      </c>
      <c r="Q306" t="str">
        <f>VLOOKUP(E306,Sales_Reps!$A:$E,3,FALSE)</f>
        <v>South</v>
      </c>
      <c r="R306" t="str">
        <f>VLOOKUP(E306,Sales_Reps!$A:$E,2,FALSE)</f>
        <v>Manoj Patel</v>
      </c>
      <c r="S306">
        <f t="shared" si="4"/>
        <v>0.42761394101876676</v>
      </c>
    </row>
    <row r="307" spans="1:19" x14ac:dyDescent="0.3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  <c r="L307" t="str">
        <f>VLOOKUP(D307,Products!$A:$F,3,FALSE)</f>
        <v>Home</v>
      </c>
      <c r="M307" t="b">
        <f>VLOOKUP(D307,Products!$A:$F,6,FALSE)</f>
        <v>1</v>
      </c>
      <c r="N307">
        <f>VLOOKUP(D307,Products!$A:$F,4,FALSE)</f>
        <v>2459</v>
      </c>
      <c r="O307" t="str">
        <f>VLOOKUP(C307,Customers!$A:$F,5,FALSE)</f>
        <v>Retail</v>
      </c>
      <c r="P307">
        <f>VLOOKUP(C307,Customers!$A:$F,3,FALSE)</f>
        <v>26</v>
      </c>
      <c r="Q307" t="str">
        <f>VLOOKUP(E307,Sales_Reps!$A:$E,3,FALSE)</f>
        <v>North</v>
      </c>
      <c r="R307" t="str">
        <f>VLOOKUP(E307,Sales_Reps!$A:$E,2,FALSE)</f>
        <v>Priya Singh</v>
      </c>
      <c r="S307">
        <f t="shared" si="4"/>
        <v>0.51594488188976373</v>
      </c>
    </row>
    <row r="308" spans="1:19" x14ac:dyDescent="0.3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  <c r="L308" t="str">
        <f>VLOOKUP(D308,Products!$A:$F,3,FALSE)</f>
        <v>Beauty</v>
      </c>
      <c r="M308" t="b">
        <f>VLOOKUP(D308,Products!$A:$F,6,FALSE)</f>
        <v>1</v>
      </c>
      <c r="N308">
        <f>VLOOKUP(D308,Products!$A:$F,4,FALSE)</f>
        <v>1219</v>
      </c>
      <c r="O308" t="str">
        <f>VLOOKUP(C308,Customers!$A:$F,5,FALSE)</f>
        <v>Retail</v>
      </c>
      <c r="P308">
        <f>VLOOKUP(C308,Customers!$A:$F,3,FALSE)</f>
        <v>54</v>
      </c>
      <c r="Q308" t="str">
        <f>VLOOKUP(E308,Sales_Reps!$A:$E,3,FALSE)</f>
        <v>South</v>
      </c>
      <c r="R308" t="str">
        <f>VLOOKUP(E308,Sales_Reps!$A:$E,2,FALSE)</f>
        <v>Sanjay Kapoor</v>
      </c>
      <c r="S308">
        <f t="shared" si="4"/>
        <v>0.46768558951965067</v>
      </c>
    </row>
    <row r="309" spans="1:19" x14ac:dyDescent="0.3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  <c r="L309" t="str">
        <f>VLOOKUP(D309,Products!$A:$F,3,FALSE)</f>
        <v>Electronics</v>
      </c>
      <c r="M309" t="b">
        <f>VLOOKUP(D309,Products!$A:$F,6,FALSE)</f>
        <v>0</v>
      </c>
      <c r="N309">
        <f>VLOOKUP(D309,Products!$A:$F,4,FALSE)</f>
        <v>1259</v>
      </c>
      <c r="O309" t="str">
        <f>VLOOKUP(C309,Customers!$A:$F,5,FALSE)</f>
        <v>SMB</v>
      </c>
      <c r="P309">
        <f>VLOOKUP(C309,Customers!$A:$F,3,FALSE)</f>
        <v>29</v>
      </c>
      <c r="Q309" t="str">
        <f>VLOOKUP(E309,Sales_Reps!$A:$E,3,FALSE)</f>
        <v>South</v>
      </c>
      <c r="R309" t="str">
        <f>VLOOKUP(E309,Sales_Reps!$A:$E,2,FALSE)</f>
        <v>Divya Rao</v>
      </c>
      <c r="S309">
        <f t="shared" si="4"/>
        <v>0.52669172932330832</v>
      </c>
    </row>
    <row r="310" spans="1:19" x14ac:dyDescent="0.3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  <c r="L310" t="str">
        <f>VLOOKUP(D310,Products!$A:$F,3,FALSE)</f>
        <v>Grocery</v>
      </c>
      <c r="M310" t="b">
        <f>VLOOKUP(D310,Products!$A:$F,6,FALSE)</f>
        <v>1</v>
      </c>
      <c r="N310">
        <f>VLOOKUP(D310,Products!$A:$F,4,FALSE)</f>
        <v>2436</v>
      </c>
      <c r="O310" t="str">
        <f>VLOOKUP(C310,Customers!$A:$F,5,FALSE)</f>
        <v>Retail</v>
      </c>
      <c r="P310">
        <f>VLOOKUP(C310,Customers!$A:$F,3,FALSE)</f>
        <v>41</v>
      </c>
      <c r="Q310" t="str">
        <f>VLOOKUP(E310,Sales_Reps!$A:$E,3,FALSE)</f>
        <v>West</v>
      </c>
      <c r="R310" t="str">
        <f>VLOOKUP(E310,Sales_Reps!$A:$E,2,FALSE)</f>
        <v>Ashok Reddy</v>
      </c>
      <c r="S310">
        <f t="shared" si="4"/>
        <v>0.35555555555555557</v>
      </c>
    </row>
    <row r="311" spans="1:19" x14ac:dyDescent="0.3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  <c r="L311" t="str">
        <f>VLOOKUP(D311,Products!$A:$F,3,FALSE)</f>
        <v>Grocery</v>
      </c>
      <c r="M311" t="b">
        <f>VLOOKUP(D311,Products!$A:$F,6,FALSE)</f>
        <v>1</v>
      </c>
      <c r="N311">
        <f>VLOOKUP(D311,Products!$A:$F,4,FALSE)</f>
        <v>1435</v>
      </c>
      <c r="O311" t="str">
        <f>VLOOKUP(C311,Customers!$A:$F,5,FALSE)</f>
        <v>Retail</v>
      </c>
      <c r="P311">
        <f>VLOOKUP(C311,Customers!$A:$F,3,FALSE)</f>
        <v>35</v>
      </c>
      <c r="Q311" t="str">
        <f>VLOOKUP(E311,Sales_Reps!$A:$E,3,FALSE)</f>
        <v>West</v>
      </c>
      <c r="R311" t="str">
        <f>VLOOKUP(E311,Sales_Reps!$A:$E,2,FALSE)</f>
        <v>Preeti Shah</v>
      </c>
      <c r="S311">
        <f t="shared" si="4"/>
        <v>0.48007246376811596</v>
      </c>
    </row>
    <row r="312" spans="1:19" x14ac:dyDescent="0.3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  <c r="L312" t="str">
        <f>VLOOKUP(D312,Products!$A:$F,3,FALSE)</f>
        <v>Beauty</v>
      </c>
      <c r="M312" t="b">
        <f>VLOOKUP(D312,Products!$A:$F,6,FALSE)</f>
        <v>0</v>
      </c>
      <c r="N312">
        <f>VLOOKUP(D312,Products!$A:$F,4,FALSE)</f>
        <v>647</v>
      </c>
      <c r="O312" t="str">
        <f>VLOOKUP(C312,Customers!$A:$F,5,FALSE)</f>
        <v>SMB</v>
      </c>
      <c r="P312">
        <f>VLOOKUP(C312,Customers!$A:$F,3,FALSE)</f>
        <v>65</v>
      </c>
      <c r="Q312" t="str">
        <f>VLOOKUP(E312,Sales_Reps!$A:$E,3,FALSE)</f>
        <v>North</v>
      </c>
      <c r="R312" t="str">
        <f>VLOOKUP(E312,Sales_Reps!$A:$E,2,FALSE)</f>
        <v>Neha Desai</v>
      </c>
      <c r="S312">
        <f t="shared" si="4"/>
        <v>0.57987012987012987</v>
      </c>
    </row>
    <row r="313" spans="1:19" x14ac:dyDescent="0.3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  <c r="L313" t="str">
        <f>VLOOKUP(D313,Products!$A:$F,3,FALSE)</f>
        <v>Beauty</v>
      </c>
      <c r="M313" t="b">
        <f>VLOOKUP(D313,Products!$A:$F,6,FALSE)</f>
        <v>1</v>
      </c>
      <c r="N313">
        <f>VLOOKUP(D313,Products!$A:$F,4,FALSE)</f>
        <v>2768</v>
      </c>
      <c r="O313" t="str">
        <f>VLOOKUP(C313,Customers!$A:$F,5,FALSE)</f>
        <v>Retail</v>
      </c>
      <c r="P313">
        <f>VLOOKUP(C313,Customers!$A:$F,3,FALSE)</f>
        <v>28</v>
      </c>
      <c r="Q313" t="str">
        <f>VLOOKUP(E313,Sales_Reps!$A:$E,3,FALSE)</f>
        <v>East</v>
      </c>
      <c r="R313" t="str">
        <f>VLOOKUP(E313,Sales_Reps!$A:$E,2,FALSE)</f>
        <v>Nisha Menon</v>
      </c>
      <c r="S313">
        <f t="shared" si="4"/>
        <v>0.43278688524590164</v>
      </c>
    </row>
    <row r="314" spans="1:19" x14ac:dyDescent="0.3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  <c r="L314" t="str">
        <f>VLOOKUP(D314,Products!$A:$F,3,FALSE)</f>
        <v>Grocery</v>
      </c>
      <c r="M314" t="b">
        <f>VLOOKUP(D314,Products!$A:$F,6,FALSE)</f>
        <v>1</v>
      </c>
      <c r="N314">
        <f>VLOOKUP(D314,Products!$A:$F,4,FALSE)</f>
        <v>1203</v>
      </c>
      <c r="O314" t="str">
        <f>VLOOKUP(C314,Customers!$A:$F,5,FALSE)</f>
        <v>Corporate</v>
      </c>
      <c r="P314">
        <f>VLOOKUP(C314,Customers!$A:$F,3,FALSE)</f>
        <v>52</v>
      </c>
      <c r="Q314" t="str">
        <f>VLOOKUP(E314,Sales_Reps!$A:$E,3,FALSE)</f>
        <v>South</v>
      </c>
      <c r="R314" t="str">
        <f>VLOOKUP(E314,Sales_Reps!$A:$E,2,FALSE)</f>
        <v>Deepak Shah</v>
      </c>
      <c r="S314">
        <f t="shared" si="4"/>
        <v>0.47004405286343615</v>
      </c>
    </row>
    <row r="315" spans="1:19" x14ac:dyDescent="0.3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  <c r="L315" t="str">
        <f>VLOOKUP(D315,Products!$A:$F,3,FALSE)</f>
        <v>Apparel</v>
      </c>
      <c r="M315" t="b">
        <f>VLOOKUP(D315,Products!$A:$F,6,FALSE)</f>
        <v>1</v>
      </c>
      <c r="N315">
        <f>VLOOKUP(D315,Products!$A:$F,4,FALSE)</f>
        <v>1173</v>
      </c>
      <c r="O315" t="str">
        <f>VLOOKUP(C315,Customers!$A:$F,5,FALSE)</f>
        <v>Retail</v>
      </c>
      <c r="P315">
        <f>VLOOKUP(C315,Customers!$A:$F,3,FALSE)</f>
        <v>53</v>
      </c>
      <c r="Q315" t="str">
        <f>VLOOKUP(E315,Sales_Reps!$A:$E,3,FALSE)</f>
        <v>South</v>
      </c>
      <c r="R315" t="str">
        <f>VLOOKUP(E315,Sales_Reps!$A:$E,2,FALSE)</f>
        <v>Divya Rao</v>
      </c>
      <c r="S315">
        <f t="shared" si="4"/>
        <v>0.52701612903225803</v>
      </c>
    </row>
    <row r="316" spans="1:19" x14ac:dyDescent="0.3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  <c r="L316" t="str">
        <f>VLOOKUP(D316,Products!$A:$F,3,FALSE)</f>
        <v>Beauty</v>
      </c>
      <c r="M316" t="b">
        <f>VLOOKUP(D316,Products!$A:$F,6,FALSE)</f>
        <v>1</v>
      </c>
      <c r="N316">
        <f>VLOOKUP(D316,Products!$A:$F,4,FALSE)</f>
        <v>1626</v>
      </c>
      <c r="O316" t="str">
        <f>VLOOKUP(C316,Customers!$A:$F,5,FALSE)</f>
        <v>Retail</v>
      </c>
      <c r="P316">
        <f>VLOOKUP(C316,Customers!$A:$F,3,FALSE)</f>
        <v>60</v>
      </c>
      <c r="Q316" t="str">
        <f>VLOOKUP(E316,Sales_Reps!$A:$E,3,FALSE)</f>
        <v>South</v>
      </c>
      <c r="R316" t="str">
        <f>VLOOKUP(E316,Sales_Reps!$A:$E,2,FALSE)</f>
        <v>Ritu Menon</v>
      </c>
      <c r="S316">
        <f t="shared" si="4"/>
        <v>0.46158940397350995</v>
      </c>
    </row>
    <row r="317" spans="1:19" x14ac:dyDescent="0.3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  <c r="L317" t="str">
        <f>VLOOKUP(D317,Products!$A:$F,3,FALSE)</f>
        <v>Beauty</v>
      </c>
      <c r="M317" t="b">
        <f>VLOOKUP(D317,Products!$A:$F,6,FALSE)</f>
        <v>0</v>
      </c>
      <c r="N317">
        <f>VLOOKUP(D317,Products!$A:$F,4,FALSE)</f>
        <v>647</v>
      </c>
      <c r="O317" t="str">
        <f>VLOOKUP(C317,Customers!$A:$F,5,FALSE)</f>
        <v>Retail</v>
      </c>
      <c r="P317">
        <f>VLOOKUP(C317,Customers!$A:$F,3,FALSE)</f>
        <v>28</v>
      </c>
      <c r="Q317" t="str">
        <f>VLOOKUP(E317,Sales_Reps!$A:$E,3,FALSE)</f>
        <v>East</v>
      </c>
      <c r="R317" t="str">
        <f>VLOOKUP(E317,Sales_Reps!$A:$E,2,FALSE)</f>
        <v>Prakash Shah</v>
      </c>
      <c r="S317">
        <f t="shared" si="4"/>
        <v>0.57987012987012987</v>
      </c>
    </row>
    <row r="318" spans="1:19" x14ac:dyDescent="0.3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  <c r="L318" t="str">
        <f>VLOOKUP(D318,Products!$A:$F,3,FALSE)</f>
        <v>Apparel</v>
      </c>
      <c r="M318" t="b">
        <f>VLOOKUP(D318,Products!$A:$F,6,FALSE)</f>
        <v>1</v>
      </c>
      <c r="N318">
        <f>VLOOKUP(D318,Products!$A:$F,4,FALSE)</f>
        <v>1886</v>
      </c>
      <c r="O318" t="str">
        <f>VLOOKUP(C318,Customers!$A:$F,5,FALSE)</f>
        <v>Retail</v>
      </c>
      <c r="P318">
        <f>VLOOKUP(C318,Customers!$A:$F,3,FALSE)</f>
        <v>59</v>
      </c>
      <c r="Q318" t="str">
        <f>VLOOKUP(E318,Sales_Reps!$A:$E,3,FALSE)</f>
        <v>North</v>
      </c>
      <c r="R318" t="str">
        <f>VLOOKUP(E318,Sales_Reps!$A:$E,2,FALSE)</f>
        <v>Rajesh Malhotra</v>
      </c>
      <c r="S318">
        <f t="shared" si="4"/>
        <v>0.4031645569620253</v>
      </c>
    </row>
    <row r="319" spans="1:19" x14ac:dyDescent="0.3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  <c r="L319" t="str">
        <f>VLOOKUP(D319,Products!$A:$F,3,FALSE)</f>
        <v>Sports</v>
      </c>
      <c r="M319" t="b">
        <f>VLOOKUP(D319,Products!$A:$F,6,FALSE)</f>
        <v>1</v>
      </c>
      <c r="N319">
        <f>VLOOKUP(D319,Products!$A:$F,4,FALSE)</f>
        <v>516</v>
      </c>
      <c r="O319" t="str">
        <f>VLOOKUP(C319,Customers!$A:$F,5,FALSE)</f>
        <v>Retail</v>
      </c>
      <c r="P319">
        <f>VLOOKUP(C319,Customers!$A:$F,3,FALSE)</f>
        <v>41</v>
      </c>
      <c r="Q319" t="str">
        <f>VLOOKUP(E319,Sales_Reps!$A:$E,3,FALSE)</f>
        <v>South</v>
      </c>
      <c r="R319" t="str">
        <f>VLOOKUP(E319,Sales_Reps!$A:$E,2,FALSE)</f>
        <v>Sanjay Kapoor</v>
      </c>
      <c r="S319">
        <f t="shared" si="4"/>
        <v>0.4891089108910891</v>
      </c>
    </row>
    <row r="320" spans="1:19" x14ac:dyDescent="0.3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  <c r="L320" t="str">
        <f>VLOOKUP(D320,Products!$A:$F,3,FALSE)</f>
        <v>Home</v>
      </c>
      <c r="M320" t="b">
        <f>VLOOKUP(D320,Products!$A:$F,6,FALSE)</f>
        <v>1</v>
      </c>
      <c r="N320">
        <f>VLOOKUP(D320,Products!$A:$F,4,FALSE)</f>
        <v>1850</v>
      </c>
      <c r="O320" t="str">
        <f>VLOOKUP(C320,Customers!$A:$F,5,FALSE)</f>
        <v>Retail</v>
      </c>
      <c r="P320">
        <f>VLOOKUP(C320,Customers!$A:$F,3,FALSE)</f>
        <v>65</v>
      </c>
      <c r="Q320" t="str">
        <f>VLOOKUP(E320,Sales_Reps!$A:$E,3,FALSE)</f>
        <v>East</v>
      </c>
      <c r="R320" t="str">
        <f>VLOOKUP(E320,Sales_Reps!$A:$E,2,FALSE)</f>
        <v>Meera Iyer</v>
      </c>
      <c r="S320">
        <f t="shared" si="4"/>
        <v>0.59869848156182215</v>
      </c>
    </row>
    <row r="321" spans="1:19" x14ac:dyDescent="0.3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  <c r="L321" t="str">
        <f>VLOOKUP(D321,Products!$A:$F,3,FALSE)</f>
        <v>Grocery</v>
      </c>
      <c r="M321" t="b">
        <f>VLOOKUP(D321,Products!$A:$F,6,FALSE)</f>
        <v>1</v>
      </c>
      <c r="N321">
        <f>VLOOKUP(D321,Products!$A:$F,4,FALSE)</f>
        <v>2911</v>
      </c>
      <c r="O321" t="str">
        <f>VLOOKUP(C321,Customers!$A:$F,5,FALSE)</f>
        <v>Retail</v>
      </c>
      <c r="P321">
        <f>VLOOKUP(C321,Customers!$A:$F,3,FALSE)</f>
        <v>53</v>
      </c>
      <c r="Q321" t="str">
        <f>VLOOKUP(E321,Sales_Reps!$A:$E,3,FALSE)</f>
        <v>West</v>
      </c>
      <c r="R321" t="str">
        <f>VLOOKUP(E321,Sales_Reps!$A:$E,2,FALSE)</f>
        <v>Arun Iyer</v>
      </c>
      <c r="S321">
        <f t="shared" si="4"/>
        <v>0.28300492610837441</v>
      </c>
    </row>
    <row r="322" spans="1:19" x14ac:dyDescent="0.3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  <c r="L322" t="str">
        <f>VLOOKUP(D322,Products!$A:$F,3,FALSE)</f>
        <v>Apparel</v>
      </c>
      <c r="M322" t="b">
        <f>VLOOKUP(D322,Products!$A:$F,6,FALSE)</f>
        <v>1</v>
      </c>
      <c r="N322">
        <f>VLOOKUP(D322,Products!$A:$F,4,FALSE)</f>
        <v>396</v>
      </c>
      <c r="O322" t="str">
        <f>VLOOKUP(C322,Customers!$A:$F,5,FALSE)</f>
        <v>SMB</v>
      </c>
      <c r="P322">
        <f>VLOOKUP(C322,Customers!$A:$F,3,FALSE)</f>
        <v>46</v>
      </c>
      <c r="Q322" t="str">
        <f>VLOOKUP(E322,Sales_Reps!$A:$E,3,FALSE)</f>
        <v>North</v>
      </c>
      <c r="R322" t="str">
        <f>VLOOKUP(E322,Sales_Reps!$A:$E,2,FALSE)</f>
        <v>Rajesh Malhotra</v>
      </c>
      <c r="S322">
        <f t="shared" si="4"/>
        <v>0.36129032258064514</v>
      </c>
    </row>
    <row r="323" spans="1:19" x14ac:dyDescent="0.3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  <c r="L323" t="str">
        <f>VLOOKUP(D323,Products!$A:$F,3,FALSE)</f>
        <v>Apparel</v>
      </c>
      <c r="M323" t="b">
        <f>VLOOKUP(D323,Products!$A:$F,6,FALSE)</f>
        <v>1</v>
      </c>
      <c r="N323">
        <f>VLOOKUP(D323,Products!$A:$F,4,FALSE)</f>
        <v>2629</v>
      </c>
      <c r="O323" t="str">
        <f>VLOOKUP(C323,Customers!$A:$F,5,FALSE)</f>
        <v>Corporate</v>
      </c>
      <c r="P323">
        <f>VLOOKUP(C323,Customers!$A:$F,3,FALSE)</f>
        <v>43</v>
      </c>
      <c r="Q323" t="str">
        <f>VLOOKUP(E323,Sales_Reps!$A:$E,3,FALSE)</f>
        <v>North</v>
      </c>
      <c r="R323" t="str">
        <f>VLOOKUP(E323,Sales_Reps!$A:$E,2,FALSE)</f>
        <v>Amit Singh</v>
      </c>
      <c r="S323">
        <f t="shared" ref="S323:S386" si="5">IFERROR((G323-N323)/G323,"")</f>
        <v>0.26151685393258428</v>
      </c>
    </row>
    <row r="324" spans="1:19" x14ac:dyDescent="0.3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  <c r="L324" t="str">
        <f>VLOOKUP(D324,Products!$A:$F,3,FALSE)</f>
        <v>Sports</v>
      </c>
      <c r="M324" t="b">
        <f>VLOOKUP(D324,Products!$A:$F,6,FALSE)</f>
        <v>1</v>
      </c>
      <c r="N324">
        <f>VLOOKUP(D324,Products!$A:$F,4,FALSE)</f>
        <v>974</v>
      </c>
      <c r="O324" t="str">
        <f>VLOOKUP(C324,Customers!$A:$F,5,FALSE)</f>
        <v>Corporate</v>
      </c>
      <c r="P324">
        <f>VLOOKUP(C324,Customers!$A:$F,3,FALSE)</f>
        <v>52</v>
      </c>
      <c r="Q324" t="str">
        <f>VLOOKUP(E324,Sales_Reps!$A:$E,3,FALSE)</f>
        <v>South</v>
      </c>
      <c r="R324" t="str">
        <f>VLOOKUP(E324,Sales_Reps!$A:$E,2,FALSE)</f>
        <v>Pooja Nair</v>
      </c>
      <c r="S324">
        <f t="shared" si="5"/>
        <v>0.59416666666666662</v>
      </c>
    </row>
    <row r="325" spans="1:19" x14ac:dyDescent="0.3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  <c r="L325" t="str">
        <f>VLOOKUP(D325,Products!$A:$F,3,FALSE)</f>
        <v>Sports</v>
      </c>
      <c r="M325" t="b">
        <f>VLOOKUP(D325,Products!$A:$F,6,FALSE)</f>
        <v>1</v>
      </c>
      <c r="N325">
        <f>VLOOKUP(D325,Products!$A:$F,4,FALSE)</f>
        <v>2827</v>
      </c>
      <c r="O325" t="str">
        <f>VLOOKUP(C325,Customers!$A:$F,5,FALSE)</f>
        <v>Retail</v>
      </c>
      <c r="P325">
        <f>VLOOKUP(C325,Customers!$A:$F,3,FALSE)</f>
        <v>53</v>
      </c>
      <c r="Q325" t="str">
        <f>VLOOKUP(E325,Sales_Reps!$A:$E,3,FALSE)</f>
        <v>North</v>
      </c>
      <c r="R325" t="str">
        <f>VLOOKUP(E325,Sales_Reps!$A:$E,2,FALSE)</f>
        <v>Neha Desai</v>
      </c>
      <c r="S325">
        <f t="shared" si="5"/>
        <v>0.5926512968299712</v>
      </c>
    </row>
    <row r="326" spans="1:19" x14ac:dyDescent="0.3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  <c r="L326" t="str">
        <f>VLOOKUP(D326,Products!$A:$F,3,FALSE)</f>
        <v>Grocery</v>
      </c>
      <c r="M326" t="b">
        <f>VLOOKUP(D326,Products!$A:$F,6,FALSE)</f>
        <v>1</v>
      </c>
      <c r="N326">
        <f>VLOOKUP(D326,Products!$A:$F,4,FALSE)</f>
        <v>1182</v>
      </c>
      <c r="O326" t="str">
        <f>VLOOKUP(C326,Customers!$A:$F,5,FALSE)</f>
        <v>Retail</v>
      </c>
      <c r="P326">
        <f>VLOOKUP(C326,Customers!$A:$F,3,FALSE)</f>
        <v>33</v>
      </c>
      <c r="Q326" t="str">
        <f>VLOOKUP(E326,Sales_Reps!$A:$E,3,FALSE)</f>
        <v>West</v>
      </c>
      <c r="R326" t="str">
        <f>VLOOKUP(E326,Sales_Reps!$A:$E,2,FALSE)</f>
        <v>Ashok Reddy</v>
      </c>
      <c r="S326">
        <f t="shared" si="5"/>
        <v>0.50336134453781511</v>
      </c>
    </row>
    <row r="327" spans="1:19" x14ac:dyDescent="0.3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  <c r="L327" t="str">
        <f>VLOOKUP(D327,Products!$A:$F,3,FALSE)</f>
        <v>Apparel</v>
      </c>
      <c r="M327" t="b">
        <f>VLOOKUP(D327,Products!$A:$F,6,FALSE)</f>
        <v>1</v>
      </c>
      <c r="N327">
        <f>VLOOKUP(D327,Products!$A:$F,4,FALSE)</f>
        <v>2509</v>
      </c>
      <c r="O327" t="str">
        <f>VLOOKUP(C327,Customers!$A:$F,5,FALSE)</f>
        <v>Corporate</v>
      </c>
      <c r="P327">
        <f>VLOOKUP(C327,Customers!$A:$F,3,FALSE)</f>
        <v>55</v>
      </c>
      <c r="Q327" t="str">
        <f>VLOOKUP(E327,Sales_Reps!$A:$E,3,FALSE)</f>
        <v>West</v>
      </c>
      <c r="R327" t="str">
        <f>VLOOKUP(E327,Sales_Reps!$A:$E,2,FALSE)</f>
        <v>Preeti Shah</v>
      </c>
      <c r="S327">
        <f t="shared" si="5"/>
        <v>0.3069060773480663</v>
      </c>
    </row>
    <row r="328" spans="1:19" x14ac:dyDescent="0.3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  <c r="L328" t="str">
        <f>VLOOKUP(D328,Products!$A:$F,3,FALSE)</f>
        <v>Beauty</v>
      </c>
      <c r="M328" t="b">
        <f>VLOOKUP(D328,Products!$A:$F,6,FALSE)</f>
        <v>1</v>
      </c>
      <c r="N328">
        <f>VLOOKUP(D328,Products!$A:$F,4,FALSE)</f>
        <v>2617</v>
      </c>
      <c r="O328" t="str">
        <f>VLOOKUP(C328,Customers!$A:$F,5,FALSE)</f>
        <v>Corporate</v>
      </c>
      <c r="P328">
        <f>VLOOKUP(C328,Customers!$A:$F,3,FALSE)</f>
        <v>43</v>
      </c>
      <c r="Q328" t="str">
        <f>VLOOKUP(E328,Sales_Reps!$A:$E,3,FALSE)</f>
        <v>North</v>
      </c>
      <c r="R328" t="str">
        <f>VLOOKUP(E328,Sales_Reps!$A:$E,2,FALSE)</f>
        <v>Priya Singh</v>
      </c>
      <c r="S328">
        <f t="shared" si="5"/>
        <v>0.56957236842105263</v>
      </c>
    </row>
    <row r="329" spans="1:19" x14ac:dyDescent="0.3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  <c r="L329" t="str">
        <f>VLOOKUP(D329,Products!$A:$F,3,FALSE)</f>
        <v>Apparel</v>
      </c>
      <c r="M329" t="b">
        <f>VLOOKUP(D329,Products!$A:$F,6,FALSE)</f>
        <v>1</v>
      </c>
      <c r="N329">
        <f>VLOOKUP(D329,Products!$A:$F,4,FALSE)</f>
        <v>391</v>
      </c>
      <c r="O329" t="str">
        <f>VLOOKUP(C329,Customers!$A:$F,5,FALSE)</f>
        <v>Retail</v>
      </c>
      <c r="P329">
        <f>VLOOKUP(C329,Customers!$A:$F,3,FALSE)</f>
        <v>26</v>
      </c>
      <c r="Q329" t="str">
        <f>VLOOKUP(E329,Sales_Reps!$A:$E,3,FALSE)</f>
        <v>East</v>
      </c>
      <c r="R329" t="str">
        <f>VLOOKUP(E329,Sales_Reps!$A:$E,2,FALSE)</f>
        <v>Shalini Patel</v>
      </c>
      <c r="S329">
        <f t="shared" si="5"/>
        <v>0.52317073170731709</v>
      </c>
    </row>
    <row r="330" spans="1:19" x14ac:dyDescent="0.3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  <c r="L330" t="str">
        <f>VLOOKUP(D330,Products!$A:$F,3,FALSE)</f>
        <v>Beauty</v>
      </c>
      <c r="M330" t="b">
        <f>VLOOKUP(D330,Products!$A:$F,6,FALSE)</f>
        <v>1</v>
      </c>
      <c r="N330">
        <f>VLOOKUP(D330,Products!$A:$F,4,FALSE)</f>
        <v>1626</v>
      </c>
      <c r="O330" t="str">
        <f>VLOOKUP(C330,Customers!$A:$F,5,FALSE)</f>
        <v>Corporate</v>
      </c>
      <c r="P330">
        <f>VLOOKUP(C330,Customers!$A:$F,3,FALSE)</f>
        <v>51</v>
      </c>
      <c r="Q330" t="str">
        <f>VLOOKUP(E330,Sales_Reps!$A:$E,3,FALSE)</f>
        <v>West</v>
      </c>
      <c r="R330" t="str">
        <f>VLOOKUP(E330,Sales_Reps!$A:$E,2,FALSE)</f>
        <v>Rekha Chopra</v>
      </c>
      <c r="S330">
        <f t="shared" si="5"/>
        <v>0.46158940397350995</v>
      </c>
    </row>
    <row r="331" spans="1:19" x14ac:dyDescent="0.3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  <c r="L331" t="str">
        <f>VLOOKUP(D331,Products!$A:$F,3,FALSE)</f>
        <v>Electronics</v>
      </c>
      <c r="M331" t="b">
        <f>VLOOKUP(D331,Products!$A:$F,6,FALSE)</f>
        <v>1</v>
      </c>
      <c r="N331">
        <f>VLOOKUP(D331,Products!$A:$F,4,FALSE)</f>
        <v>1559</v>
      </c>
      <c r="O331" t="str">
        <f>VLOOKUP(C331,Customers!$A:$F,5,FALSE)</f>
        <v>Retail</v>
      </c>
      <c r="P331">
        <f>VLOOKUP(C331,Customers!$A:$F,3,FALSE)</f>
        <v>24</v>
      </c>
      <c r="Q331" t="str">
        <f>VLOOKUP(E331,Sales_Reps!$A:$E,3,FALSE)</f>
        <v>West</v>
      </c>
      <c r="R331" t="str">
        <f>VLOOKUP(E331,Sales_Reps!$A:$E,2,FALSE)</f>
        <v>Arun Iyer</v>
      </c>
      <c r="S331">
        <f t="shared" si="5"/>
        <v>0.59715762273901807</v>
      </c>
    </row>
    <row r="332" spans="1:19" x14ac:dyDescent="0.3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  <c r="L332" t="str">
        <f>VLOOKUP(D332,Products!$A:$F,3,FALSE)</f>
        <v>Beauty</v>
      </c>
      <c r="M332" t="b">
        <f>VLOOKUP(D332,Products!$A:$F,6,FALSE)</f>
        <v>1</v>
      </c>
      <c r="N332">
        <f>VLOOKUP(D332,Products!$A:$F,4,FALSE)</f>
        <v>2420</v>
      </c>
      <c r="O332" t="str">
        <f>VLOOKUP(C332,Customers!$A:$F,5,FALSE)</f>
        <v>SMB</v>
      </c>
      <c r="P332">
        <f>VLOOKUP(C332,Customers!$A:$F,3,FALSE)</f>
        <v>30</v>
      </c>
      <c r="Q332" t="str">
        <f>VLOOKUP(E332,Sales_Reps!$A:$E,3,FALSE)</f>
        <v>West</v>
      </c>
      <c r="R332" t="str">
        <f>VLOOKUP(E332,Sales_Reps!$A:$E,2,FALSE)</f>
        <v>Kiran Bhatt</v>
      </c>
      <c r="S332">
        <f t="shared" si="5"/>
        <v>0.29855072463768118</v>
      </c>
    </row>
    <row r="333" spans="1:19" x14ac:dyDescent="0.3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  <c r="L333" t="str">
        <f>VLOOKUP(D333,Products!$A:$F,3,FALSE)</f>
        <v>Beauty</v>
      </c>
      <c r="M333" t="b">
        <f>VLOOKUP(D333,Products!$A:$F,6,FALSE)</f>
        <v>1</v>
      </c>
      <c r="N333">
        <f>VLOOKUP(D333,Products!$A:$F,4,FALSE)</f>
        <v>2237</v>
      </c>
      <c r="O333" t="str">
        <f>VLOOKUP(C333,Customers!$A:$F,5,FALSE)</f>
        <v>Retail</v>
      </c>
      <c r="P333">
        <f>VLOOKUP(C333,Customers!$A:$F,3,FALSE)</f>
        <v>24</v>
      </c>
      <c r="Q333" t="str">
        <f>VLOOKUP(E333,Sales_Reps!$A:$E,3,FALSE)</f>
        <v>North</v>
      </c>
      <c r="R333" t="str">
        <f>VLOOKUP(E333,Sales_Reps!$A:$E,2,FALSE)</f>
        <v>Kavita Patel</v>
      </c>
      <c r="S333">
        <f t="shared" si="5"/>
        <v>0.56137254901960787</v>
      </c>
    </row>
    <row r="334" spans="1:19" x14ac:dyDescent="0.3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  <c r="L334" t="str">
        <f>VLOOKUP(D334,Products!$A:$F,3,FALSE)</f>
        <v>Grocery</v>
      </c>
      <c r="M334" t="b">
        <f>VLOOKUP(D334,Products!$A:$F,6,FALSE)</f>
        <v>1</v>
      </c>
      <c r="N334">
        <f>VLOOKUP(D334,Products!$A:$F,4,FALSE)</f>
        <v>2027</v>
      </c>
      <c r="O334" t="str">
        <f>VLOOKUP(C334,Customers!$A:$F,5,FALSE)</f>
        <v>SMB</v>
      </c>
      <c r="P334">
        <f>VLOOKUP(C334,Customers!$A:$F,3,FALSE)</f>
        <v>53</v>
      </c>
      <c r="Q334" t="str">
        <f>VLOOKUP(E334,Sales_Reps!$A:$E,3,FALSE)</f>
        <v>North</v>
      </c>
      <c r="R334" t="str">
        <f>VLOOKUP(E334,Sales_Reps!$A:$E,2,FALSE)</f>
        <v>Kavita Patel</v>
      </c>
      <c r="S334">
        <f t="shared" si="5"/>
        <v>0.50196560196560192</v>
      </c>
    </row>
    <row r="335" spans="1:19" x14ac:dyDescent="0.3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  <c r="L335" t="str">
        <f>VLOOKUP(D335,Products!$A:$F,3,FALSE)</f>
        <v>Electronics</v>
      </c>
      <c r="M335" t="b">
        <f>VLOOKUP(D335,Products!$A:$F,6,FALSE)</f>
        <v>1</v>
      </c>
      <c r="N335">
        <f>VLOOKUP(D335,Products!$A:$F,4,FALSE)</f>
        <v>2405</v>
      </c>
      <c r="O335" t="str">
        <f>VLOOKUP(C335,Customers!$A:$F,5,FALSE)</f>
        <v>SMB</v>
      </c>
      <c r="P335">
        <f>VLOOKUP(C335,Customers!$A:$F,3,FALSE)</f>
        <v>35</v>
      </c>
      <c r="Q335" t="str">
        <f>VLOOKUP(E335,Sales_Reps!$A:$E,3,FALSE)</f>
        <v>North</v>
      </c>
      <c r="R335" t="str">
        <f>VLOOKUP(E335,Sales_Reps!$A:$E,2,FALSE)</f>
        <v>Suresh Menon</v>
      </c>
      <c r="S335">
        <f t="shared" si="5"/>
        <v>0.54878048780487809</v>
      </c>
    </row>
    <row r="336" spans="1:19" x14ac:dyDescent="0.3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  <c r="L336" t="str">
        <f>VLOOKUP(D336,Products!$A:$F,3,FALSE)</f>
        <v>Grocery</v>
      </c>
      <c r="M336" t="b">
        <f>VLOOKUP(D336,Products!$A:$F,6,FALSE)</f>
        <v>1</v>
      </c>
      <c r="N336">
        <f>VLOOKUP(D336,Products!$A:$F,4,FALSE)</f>
        <v>1203</v>
      </c>
      <c r="O336" t="str">
        <f>VLOOKUP(C336,Customers!$A:$F,5,FALSE)</f>
        <v>Retail</v>
      </c>
      <c r="P336">
        <f>VLOOKUP(C336,Customers!$A:$F,3,FALSE)</f>
        <v>48</v>
      </c>
      <c r="Q336" t="str">
        <f>VLOOKUP(E336,Sales_Reps!$A:$E,3,FALSE)</f>
        <v>East</v>
      </c>
      <c r="R336" t="str">
        <f>VLOOKUP(E336,Sales_Reps!$A:$E,2,FALSE)</f>
        <v>Meera Iyer</v>
      </c>
      <c r="S336">
        <f t="shared" si="5"/>
        <v>0.47004405286343615</v>
      </c>
    </row>
    <row r="337" spans="1:19" x14ac:dyDescent="0.3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  <c r="L337" t="str">
        <f>VLOOKUP(D337,Products!$A:$F,3,FALSE)</f>
        <v>Apparel</v>
      </c>
      <c r="M337" t="b">
        <f>VLOOKUP(D337,Products!$A:$F,6,FALSE)</f>
        <v>0</v>
      </c>
      <c r="N337">
        <f>VLOOKUP(D337,Products!$A:$F,4,FALSE)</f>
        <v>1075</v>
      </c>
      <c r="O337" t="str">
        <f>VLOOKUP(C337,Customers!$A:$F,5,FALSE)</f>
        <v>SMB</v>
      </c>
      <c r="P337">
        <f>VLOOKUP(C337,Customers!$A:$F,3,FALSE)</f>
        <v>39</v>
      </c>
      <c r="Q337" t="str">
        <f>VLOOKUP(E337,Sales_Reps!$A:$E,3,FALSE)</f>
        <v>West</v>
      </c>
      <c r="R337" t="str">
        <f>VLOOKUP(E337,Sales_Reps!$A:$E,2,FALSE)</f>
        <v>Rekha Chopra</v>
      </c>
      <c r="S337">
        <f t="shared" si="5"/>
        <v>0.57171314741035861</v>
      </c>
    </row>
    <row r="338" spans="1:19" x14ac:dyDescent="0.3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  <c r="L338" t="str">
        <f>VLOOKUP(D338,Products!$A:$F,3,FALSE)</f>
        <v>Grocery</v>
      </c>
      <c r="M338" t="b">
        <f>VLOOKUP(D338,Products!$A:$F,6,FALSE)</f>
        <v>1</v>
      </c>
      <c r="N338">
        <f>VLOOKUP(D338,Products!$A:$F,4,FALSE)</f>
        <v>1182</v>
      </c>
      <c r="O338" t="str">
        <f>VLOOKUP(C338,Customers!$A:$F,5,FALSE)</f>
        <v>Retail</v>
      </c>
      <c r="P338">
        <f>VLOOKUP(C338,Customers!$A:$F,3,FALSE)</f>
        <v>40</v>
      </c>
      <c r="Q338" t="str">
        <f>VLOOKUP(E338,Sales_Reps!$A:$E,3,FALSE)</f>
        <v>East</v>
      </c>
      <c r="R338" t="str">
        <f>VLOOKUP(E338,Sales_Reps!$A:$E,2,FALSE)</f>
        <v>Prakash Shah</v>
      </c>
      <c r="S338">
        <f t="shared" si="5"/>
        <v>0.50336134453781511</v>
      </c>
    </row>
    <row r="339" spans="1:19" x14ac:dyDescent="0.3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  <c r="L339" t="str">
        <f>VLOOKUP(D339,Products!$A:$F,3,FALSE)</f>
        <v>Apparel</v>
      </c>
      <c r="M339" t="b">
        <f>VLOOKUP(D339,Products!$A:$F,6,FALSE)</f>
        <v>1</v>
      </c>
      <c r="N339">
        <f>VLOOKUP(D339,Products!$A:$F,4,FALSE)</f>
        <v>1748</v>
      </c>
      <c r="O339" t="str">
        <f>VLOOKUP(C339,Customers!$A:$F,5,FALSE)</f>
        <v>SMB</v>
      </c>
      <c r="P339">
        <f>VLOOKUP(C339,Customers!$A:$F,3,FALSE)</f>
        <v>26</v>
      </c>
      <c r="Q339" t="str">
        <f>VLOOKUP(E339,Sales_Reps!$A:$E,3,FALSE)</f>
        <v>North</v>
      </c>
      <c r="R339" t="str">
        <f>VLOOKUP(E339,Sales_Reps!$A:$E,2,FALSE)</f>
        <v>Kavita Patel</v>
      </c>
      <c r="S339">
        <f t="shared" si="5"/>
        <v>0.49333333333333335</v>
      </c>
    </row>
    <row r="340" spans="1:19" x14ac:dyDescent="0.3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  <c r="L340" t="str">
        <f>VLOOKUP(D340,Products!$A:$F,3,FALSE)</f>
        <v>Electronics</v>
      </c>
      <c r="M340" t="b">
        <f>VLOOKUP(D340,Products!$A:$F,6,FALSE)</f>
        <v>1</v>
      </c>
      <c r="N340">
        <f>VLOOKUP(D340,Products!$A:$F,4,FALSE)</f>
        <v>1665</v>
      </c>
      <c r="O340" t="str">
        <f>VLOOKUP(C340,Customers!$A:$F,5,FALSE)</f>
        <v>Corporate</v>
      </c>
      <c r="P340">
        <f>VLOOKUP(C340,Customers!$A:$F,3,FALSE)</f>
        <v>57</v>
      </c>
      <c r="Q340" t="str">
        <f>VLOOKUP(E340,Sales_Reps!$A:$E,3,FALSE)</f>
        <v>North</v>
      </c>
      <c r="R340" t="str">
        <f>VLOOKUP(E340,Sales_Reps!$A:$E,2,FALSE)</f>
        <v>Sunita Malhotra</v>
      </c>
      <c r="S340">
        <f t="shared" si="5"/>
        <v>0.53361344537815125</v>
      </c>
    </row>
    <row r="341" spans="1:19" x14ac:dyDescent="0.3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  <c r="L341" t="str">
        <f>VLOOKUP(D341,Products!$A:$F,3,FALSE)</f>
        <v>Electronics</v>
      </c>
      <c r="M341" t="b">
        <f>VLOOKUP(D341,Products!$A:$F,6,FALSE)</f>
        <v>1</v>
      </c>
      <c r="N341">
        <f>VLOOKUP(D341,Products!$A:$F,4,FALSE)</f>
        <v>2405</v>
      </c>
      <c r="O341" t="str">
        <f>VLOOKUP(C341,Customers!$A:$F,5,FALSE)</f>
        <v>Retail</v>
      </c>
      <c r="P341">
        <f>VLOOKUP(C341,Customers!$A:$F,3,FALSE)</f>
        <v>27</v>
      </c>
      <c r="Q341" t="str">
        <f>VLOOKUP(E341,Sales_Reps!$A:$E,3,FALSE)</f>
        <v>West</v>
      </c>
      <c r="R341" t="str">
        <f>VLOOKUP(E341,Sales_Reps!$A:$E,2,FALSE)</f>
        <v>Arun Iyer</v>
      </c>
      <c r="S341">
        <f t="shared" si="5"/>
        <v>0.54878048780487809</v>
      </c>
    </row>
    <row r="342" spans="1:19" x14ac:dyDescent="0.3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  <c r="L342" t="str">
        <f>VLOOKUP(D342,Products!$A:$F,3,FALSE)</f>
        <v>Grocery</v>
      </c>
      <c r="M342" t="b">
        <f>VLOOKUP(D342,Products!$A:$F,6,FALSE)</f>
        <v>0</v>
      </c>
      <c r="N342">
        <f>VLOOKUP(D342,Products!$A:$F,4,FALSE)</f>
        <v>2214</v>
      </c>
      <c r="O342" t="str">
        <f>VLOOKUP(C342,Customers!$A:$F,5,FALSE)</f>
        <v>Retail</v>
      </c>
      <c r="P342">
        <f>VLOOKUP(C342,Customers!$A:$F,3,FALSE)</f>
        <v>56</v>
      </c>
      <c r="Q342" t="str">
        <f>VLOOKUP(E342,Sales_Reps!$A:$E,3,FALSE)</f>
        <v>West</v>
      </c>
      <c r="R342" t="str">
        <f>VLOOKUP(E342,Sales_Reps!$A:$E,2,FALSE)</f>
        <v>Ramesh Bhatt</v>
      </c>
      <c r="S342">
        <f t="shared" si="5"/>
        <v>0.39508196721311473</v>
      </c>
    </row>
    <row r="343" spans="1:19" x14ac:dyDescent="0.3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  <c r="L343" t="str">
        <f>VLOOKUP(D343,Products!$A:$F,3,FALSE)</f>
        <v>Sports</v>
      </c>
      <c r="M343" t="b">
        <f>VLOOKUP(D343,Products!$A:$F,6,FALSE)</f>
        <v>1</v>
      </c>
      <c r="N343">
        <f>VLOOKUP(D343,Products!$A:$F,4,FALSE)</f>
        <v>516</v>
      </c>
      <c r="O343" t="str">
        <f>VLOOKUP(C343,Customers!$A:$F,5,FALSE)</f>
        <v>Retail</v>
      </c>
      <c r="P343">
        <f>VLOOKUP(C343,Customers!$A:$F,3,FALSE)</f>
        <v>35</v>
      </c>
      <c r="Q343" t="str">
        <f>VLOOKUP(E343,Sales_Reps!$A:$E,3,FALSE)</f>
        <v>South</v>
      </c>
      <c r="R343" t="str">
        <f>VLOOKUP(E343,Sales_Reps!$A:$E,2,FALSE)</f>
        <v>Deepak Shah</v>
      </c>
      <c r="S343">
        <f t="shared" si="5"/>
        <v>0.4891089108910891</v>
      </c>
    </row>
    <row r="344" spans="1:19" x14ac:dyDescent="0.3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  <c r="L344" t="str">
        <f>VLOOKUP(D344,Products!$A:$F,3,FALSE)</f>
        <v>Home</v>
      </c>
      <c r="M344" t="b">
        <f>VLOOKUP(D344,Products!$A:$F,6,FALSE)</f>
        <v>1</v>
      </c>
      <c r="N344">
        <f>VLOOKUP(D344,Products!$A:$F,4,FALSE)</f>
        <v>519</v>
      </c>
      <c r="O344" t="str">
        <f>VLOOKUP(C344,Customers!$A:$F,5,FALSE)</f>
        <v>SMB</v>
      </c>
      <c r="P344">
        <f>VLOOKUP(C344,Customers!$A:$F,3,FALSE)</f>
        <v>48</v>
      </c>
      <c r="Q344" t="str">
        <f>VLOOKUP(E344,Sales_Reps!$A:$E,3,FALSE)</f>
        <v>South</v>
      </c>
      <c r="R344" t="str">
        <f>VLOOKUP(E344,Sales_Reps!$A:$E,2,FALSE)</f>
        <v>Deepak Shah</v>
      </c>
      <c r="S344">
        <f t="shared" si="5"/>
        <v>0.51944444444444449</v>
      </c>
    </row>
    <row r="345" spans="1:19" x14ac:dyDescent="0.3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  <c r="L345" t="str">
        <f>VLOOKUP(D345,Products!$A:$F,3,FALSE)</f>
        <v>Sports</v>
      </c>
      <c r="M345" t="b">
        <f>VLOOKUP(D345,Products!$A:$F,6,FALSE)</f>
        <v>1</v>
      </c>
      <c r="N345">
        <f>VLOOKUP(D345,Products!$A:$F,4,FALSE)</f>
        <v>2467</v>
      </c>
      <c r="O345" t="str">
        <f>VLOOKUP(C345,Customers!$A:$F,5,FALSE)</f>
        <v>Retail</v>
      </c>
      <c r="P345">
        <f>VLOOKUP(C345,Customers!$A:$F,3,FALSE)</f>
        <v>22</v>
      </c>
      <c r="Q345" t="str">
        <f>VLOOKUP(E345,Sales_Reps!$A:$E,3,FALSE)</f>
        <v>South</v>
      </c>
      <c r="R345" t="str">
        <f>VLOOKUP(E345,Sales_Reps!$A:$E,2,FALSE)</f>
        <v>Divya Rao</v>
      </c>
      <c r="S345">
        <f t="shared" si="5"/>
        <v>0.28492753623188405</v>
      </c>
    </row>
    <row r="346" spans="1:19" x14ac:dyDescent="0.3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  <c r="L346" t="str">
        <f>VLOOKUP(D346,Products!$A:$F,3,FALSE)</f>
        <v>Sports</v>
      </c>
      <c r="M346" t="b">
        <f>VLOOKUP(D346,Products!$A:$F,6,FALSE)</f>
        <v>1</v>
      </c>
      <c r="N346">
        <f>VLOOKUP(D346,Products!$A:$F,4,FALSE)</f>
        <v>2827</v>
      </c>
      <c r="O346" t="str">
        <f>VLOOKUP(C346,Customers!$A:$F,5,FALSE)</f>
        <v>Retail</v>
      </c>
      <c r="P346">
        <f>VLOOKUP(C346,Customers!$A:$F,3,FALSE)</f>
        <v>42</v>
      </c>
      <c r="Q346" t="str">
        <f>VLOOKUP(E346,Sales_Reps!$A:$E,3,FALSE)</f>
        <v>South</v>
      </c>
      <c r="R346" t="str">
        <f>VLOOKUP(E346,Sales_Reps!$A:$E,2,FALSE)</f>
        <v>Deepak Shah</v>
      </c>
      <c r="S346">
        <f t="shared" si="5"/>
        <v>0.5926512968299712</v>
      </c>
    </row>
    <row r="347" spans="1:19" x14ac:dyDescent="0.3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  <c r="L347" t="str">
        <f>VLOOKUP(D347,Products!$A:$F,3,FALSE)</f>
        <v>Beauty</v>
      </c>
      <c r="M347" t="b">
        <f>VLOOKUP(D347,Products!$A:$F,6,FALSE)</f>
        <v>0</v>
      </c>
      <c r="N347">
        <f>VLOOKUP(D347,Products!$A:$F,4,FALSE)</f>
        <v>647</v>
      </c>
      <c r="O347" t="str">
        <f>VLOOKUP(C347,Customers!$A:$F,5,FALSE)</f>
        <v>Retail</v>
      </c>
      <c r="P347">
        <f>VLOOKUP(C347,Customers!$A:$F,3,FALSE)</f>
        <v>54</v>
      </c>
      <c r="Q347" t="str">
        <f>VLOOKUP(E347,Sales_Reps!$A:$E,3,FALSE)</f>
        <v>North</v>
      </c>
      <c r="R347" t="str">
        <f>VLOOKUP(E347,Sales_Reps!$A:$E,2,FALSE)</f>
        <v>Amit Singh</v>
      </c>
      <c r="S347">
        <f t="shared" si="5"/>
        <v>0.57987012987012987</v>
      </c>
    </row>
    <row r="348" spans="1:19" x14ac:dyDescent="0.3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  <c r="L348" t="str">
        <f>VLOOKUP(D348,Products!$A:$F,3,FALSE)</f>
        <v>Electronics</v>
      </c>
      <c r="M348" t="b">
        <f>VLOOKUP(D348,Products!$A:$F,6,FALSE)</f>
        <v>1</v>
      </c>
      <c r="N348">
        <f>VLOOKUP(D348,Products!$A:$F,4,FALSE)</f>
        <v>1149</v>
      </c>
      <c r="O348" t="str">
        <f>VLOOKUP(C348,Customers!$A:$F,5,FALSE)</f>
        <v>Corporate</v>
      </c>
      <c r="P348">
        <f>VLOOKUP(C348,Customers!$A:$F,3,FALSE)</f>
        <v>47</v>
      </c>
      <c r="Q348" t="str">
        <f>VLOOKUP(E348,Sales_Reps!$A:$E,3,FALSE)</f>
        <v>South</v>
      </c>
      <c r="R348" t="str">
        <f>VLOOKUP(E348,Sales_Reps!$A:$E,2,FALSE)</f>
        <v>Deepak Shah</v>
      </c>
      <c r="S348">
        <f t="shared" si="5"/>
        <v>0.56477272727272732</v>
      </c>
    </row>
    <row r="349" spans="1:19" x14ac:dyDescent="0.3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  <c r="L349" t="str">
        <f>VLOOKUP(D349,Products!$A:$F,3,FALSE)</f>
        <v>Sports</v>
      </c>
      <c r="M349" t="b">
        <f>VLOOKUP(D349,Products!$A:$F,6,FALSE)</f>
        <v>1</v>
      </c>
      <c r="N349">
        <f>VLOOKUP(D349,Products!$A:$F,4,FALSE)</f>
        <v>2265</v>
      </c>
      <c r="O349" t="str">
        <f>VLOOKUP(C349,Customers!$A:$F,5,FALSE)</f>
        <v>Retail</v>
      </c>
      <c r="P349">
        <f>VLOOKUP(C349,Customers!$A:$F,3,FALSE)</f>
        <v>36</v>
      </c>
      <c r="Q349" t="str">
        <f>VLOOKUP(E349,Sales_Reps!$A:$E,3,FALSE)</f>
        <v>West</v>
      </c>
      <c r="R349" t="str">
        <f>VLOOKUP(E349,Sales_Reps!$A:$E,2,FALSE)</f>
        <v>Rekha Chopra</v>
      </c>
      <c r="S349">
        <f t="shared" si="5"/>
        <v>0.58133086876155271</v>
      </c>
    </row>
    <row r="350" spans="1:19" x14ac:dyDescent="0.3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  <c r="L350" t="str">
        <f>VLOOKUP(D350,Products!$A:$F,3,FALSE)</f>
        <v>Electronics</v>
      </c>
      <c r="M350" t="b">
        <f>VLOOKUP(D350,Products!$A:$F,6,FALSE)</f>
        <v>1</v>
      </c>
      <c r="N350">
        <f>VLOOKUP(D350,Products!$A:$F,4,FALSE)</f>
        <v>1665</v>
      </c>
      <c r="O350" t="str">
        <f>VLOOKUP(C350,Customers!$A:$F,5,FALSE)</f>
        <v>SMB</v>
      </c>
      <c r="P350">
        <f>VLOOKUP(C350,Customers!$A:$F,3,FALSE)</f>
        <v>38</v>
      </c>
      <c r="Q350" t="str">
        <f>VLOOKUP(E350,Sales_Reps!$A:$E,3,FALSE)</f>
        <v>West</v>
      </c>
      <c r="R350" t="str">
        <f>VLOOKUP(E350,Sales_Reps!$A:$E,2,FALSE)</f>
        <v>Ramesh Bhatt</v>
      </c>
      <c r="S350">
        <f t="shared" si="5"/>
        <v>0.53361344537815125</v>
      </c>
    </row>
    <row r="351" spans="1:19" x14ac:dyDescent="0.3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  <c r="L351" t="str">
        <f>VLOOKUP(D351,Products!$A:$F,3,FALSE)</f>
        <v>Home</v>
      </c>
      <c r="M351" t="b">
        <f>VLOOKUP(D351,Products!$A:$F,6,FALSE)</f>
        <v>1</v>
      </c>
      <c r="N351">
        <f>VLOOKUP(D351,Products!$A:$F,4,FALSE)</f>
        <v>288</v>
      </c>
      <c r="O351" t="str">
        <f>VLOOKUP(C351,Customers!$A:$F,5,FALSE)</f>
        <v>SMB</v>
      </c>
      <c r="P351">
        <f>VLOOKUP(C351,Customers!$A:$F,3,FALSE)</f>
        <v>29</v>
      </c>
      <c r="Q351" t="str">
        <f>VLOOKUP(E351,Sales_Reps!$A:$E,3,FALSE)</f>
        <v>West</v>
      </c>
      <c r="R351" t="str">
        <f>VLOOKUP(E351,Sales_Reps!$A:$E,2,FALSE)</f>
        <v>Preeti Shah</v>
      </c>
      <c r="S351">
        <f t="shared" si="5"/>
        <v>0.22162162162162163</v>
      </c>
    </row>
    <row r="352" spans="1:19" x14ac:dyDescent="0.3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  <c r="L352" t="str">
        <f>VLOOKUP(D352,Products!$A:$F,3,FALSE)</f>
        <v>Apparel</v>
      </c>
      <c r="M352" t="b">
        <f>VLOOKUP(D352,Products!$A:$F,6,FALSE)</f>
        <v>0</v>
      </c>
      <c r="N352">
        <f>VLOOKUP(D352,Products!$A:$F,4,FALSE)</f>
        <v>1075</v>
      </c>
      <c r="O352" t="str">
        <f>VLOOKUP(C352,Customers!$A:$F,5,FALSE)</f>
        <v>Retail</v>
      </c>
      <c r="P352">
        <f>VLOOKUP(C352,Customers!$A:$F,3,FALSE)</f>
        <v>39</v>
      </c>
      <c r="Q352" t="str">
        <f>VLOOKUP(E352,Sales_Reps!$A:$E,3,FALSE)</f>
        <v>East</v>
      </c>
      <c r="R352" t="str">
        <f>VLOOKUP(E352,Sales_Reps!$A:$E,2,FALSE)</f>
        <v>Naveen Singh</v>
      </c>
      <c r="S352">
        <f t="shared" si="5"/>
        <v>0.57171314741035861</v>
      </c>
    </row>
    <row r="353" spans="1:19" x14ac:dyDescent="0.3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  <c r="L353" t="str">
        <f>VLOOKUP(D353,Products!$A:$F,3,FALSE)</f>
        <v>Apparel</v>
      </c>
      <c r="M353" t="b">
        <f>VLOOKUP(D353,Products!$A:$F,6,FALSE)</f>
        <v>1</v>
      </c>
      <c r="N353">
        <f>VLOOKUP(D353,Products!$A:$F,4,FALSE)</f>
        <v>2611</v>
      </c>
      <c r="O353" t="str">
        <f>VLOOKUP(C353,Customers!$A:$F,5,FALSE)</f>
        <v>Retail</v>
      </c>
      <c r="P353">
        <f>VLOOKUP(C353,Customers!$A:$F,3,FALSE)</f>
        <v>64</v>
      </c>
      <c r="Q353" t="str">
        <f>VLOOKUP(E353,Sales_Reps!$A:$E,3,FALSE)</f>
        <v>East</v>
      </c>
      <c r="R353" t="str">
        <f>VLOOKUP(E353,Sales_Reps!$A:$E,2,FALSE)</f>
        <v>Nisha Menon</v>
      </c>
      <c r="S353">
        <f t="shared" si="5"/>
        <v>0.28269230769230769</v>
      </c>
    </row>
    <row r="354" spans="1:19" x14ac:dyDescent="0.3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  <c r="L354" t="str">
        <f>VLOOKUP(D354,Products!$A:$F,3,FALSE)</f>
        <v>Beauty</v>
      </c>
      <c r="M354" t="b">
        <f>VLOOKUP(D354,Products!$A:$F,6,FALSE)</f>
        <v>1</v>
      </c>
      <c r="N354">
        <f>VLOOKUP(D354,Products!$A:$F,4,FALSE)</f>
        <v>1222</v>
      </c>
      <c r="O354" t="str">
        <f>VLOOKUP(C354,Customers!$A:$F,5,FALSE)</f>
        <v>SMB</v>
      </c>
      <c r="P354">
        <f>VLOOKUP(C354,Customers!$A:$F,3,FALSE)</f>
        <v>52</v>
      </c>
      <c r="Q354" t="str">
        <f>VLOOKUP(E354,Sales_Reps!$A:$E,3,FALSE)</f>
        <v>West</v>
      </c>
      <c r="R354" t="str">
        <f>VLOOKUP(E354,Sales_Reps!$A:$E,2,FALSE)</f>
        <v>Arun Iyer</v>
      </c>
      <c r="S354">
        <f t="shared" si="5"/>
        <v>0.2593939393939394</v>
      </c>
    </row>
    <row r="355" spans="1:19" x14ac:dyDescent="0.3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  <c r="L355" t="str">
        <f>VLOOKUP(D355,Products!$A:$F,3,FALSE)</f>
        <v>Beauty</v>
      </c>
      <c r="M355" t="b">
        <f>VLOOKUP(D355,Products!$A:$F,6,FALSE)</f>
        <v>1</v>
      </c>
      <c r="N355">
        <f>VLOOKUP(D355,Products!$A:$F,4,FALSE)</f>
        <v>675</v>
      </c>
      <c r="O355" t="str">
        <f>VLOOKUP(C355,Customers!$A:$F,5,FALSE)</f>
        <v>Retail</v>
      </c>
      <c r="P355">
        <f>VLOOKUP(C355,Customers!$A:$F,3,FALSE)</f>
        <v>60</v>
      </c>
      <c r="Q355" t="str">
        <f>VLOOKUP(E355,Sales_Reps!$A:$E,3,FALSE)</f>
        <v>West</v>
      </c>
      <c r="R355" t="str">
        <f>VLOOKUP(E355,Sales_Reps!$A:$E,2,FALSE)</f>
        <v>Rekha Chopra</v>
      </c>
      <c r="S355">
        <f t="shared" si="5"/>
        <v>0.296875</v>
      </c>
    </row>
    <row r="356" spans="1:19" x14ac:dyDescent="0.3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  <c r="L356" t="str">
        <f>VLOOKUP(D356,Products!$A:$F,3,FALSE)</f>
        <v>Grocery</v>
      </c>
      <c r="M356" t="b">
        <f>VLOOKUP(D356,Products!$A:$F,6,FALSE)</f>
        <v>1</v>
      </c>
      <c r="N356">
        <f>VLOOKUP(D356,Products!$A:$F,4,FALSE)</f>
        <v>2436</v>
      </c>
      <c r="O356" t="str">
        <f>VLOOKUP(C356,Customers!$A:$F,5,FALSE)</f>
        <v>SMB</v>
      </c>
      <c r="P356">
        <f>VLOOKUP(C356,Customers!$A:$F,3,FALSE)</f>
        <v>64</v>
      </c>
      <c r="Q356" t="str">
        <f>VLOOKUP(E356,Sales_Reps!$A:$E,3,FALSE)</f>
        <v>East</v>
      </c>
      <c r="R356" t="str">
        <f>VLOOKUP(E356,Sales_Reps!$A:$E,2,FALSE)</f>
        <v>Gaurav Desai</v>
      </c>
      <c r="S356">
        <f t="shared" si="5"/>
        <v>0.35555555555555557</v>
      </c>
    </row>
    <row r="357" spans="1:19" x14ac:dyDescent="0.3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  <c r="L357" t="str">
        <f>VLOOKUP(D357,Products!$A:$F,3,FALSE)</f>
        <v>Beauty</v>
      </c>
      <c r="M357" t="b">
        <f>VLOOKUP(D357,Products!$A:$F,6,FALSE)</f>
        <v>1</v>
      </c>
      <c r="N357">
        <f>VLOOKUP(D357,Products!$A:$F,4,FALSE)</f>
        <v>1222</v>
      </c>
      <c r="O357" t="str">
        <f>VLOOKUP(C357,Customers!$A:$F,5,FALSE)</f>
        <v>SMB</v>
      </c>
      <c r="P357">
        <f>VLOOKUP(C357,Customers!$A:$F,3,FALSE)</f>
        <v>52</v>
      </c>
      <c r="Q357" t="str">
        <f>VLOOKUP(E357,Sales_Reps!$A:$E,3,FALSE)</f>
        <v>South</v>
      </c>
      <c r="R357" t="str">
        <f>VLOOKUP(E357,Sales_Reps!$A:$E,2,FALSE)</f>
        <v>Ritu Menon</v>
      </c>
      <c r="S357">
        <f t="shared" si="5"/>
        <v>0.2593939393939394</v>
      </c>
    </row>
    <row r="358" spans="1:19" x14ac:dyDescent="0.3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  <c r="L358" t="str">
        <f>VLOOKUP(D358,Products!$A:$F,3,FALSE)</f>
        <v>Apparel</v>
      </c>
      <c r="M358" t="b">
        <f>VLOOKUP(D358,Products!$A:$F,6,FALSE)</f>
        <v>1</v>
      </c>
      <c r="N358">
        <f>VLOOKUP(D358,Products!$A:$F,4,FALSE)</f>
        <v>2509</v>
      </c>
      <c r="O358" t="str">
        <f>VLOOKUP(C358,Customers!$A:$F,5,FALSE)</f>
        <v>Retail</v>
      </c>
      <c r="P358">
        <f>VLOOKUP(C358,Customers!$A:$F,3,FALSE)</f>
        <v>38</v>
      </c>
      <c r="Q358" t="str">
        <f>VLOOKUP(E358,Sales_Reps!$A:$E,3,FALSE)</f>
        <v>South</v>
      </c>
      <c r="R358" t="str">
        <f>VLOOKUP(E358,Sales_Reps!$A:$E,2,FALSE)</f>
        <v>Pooja Nair</v>
      </c>
      <c r="S358">
        <f t="shared" si="5"/>
        <v>0.3069060773480663</v>
      </c>
    </row>
    <row r="359" spans="1:19" x14ac:dyDescent="0.3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  <c r="L359" t="str">
        <f>VLOOKUP(D359,Products!$A:$F,3,FALSE)</f>
        <v>Grocery</v>
      </c>
      <c r="M359" t="b">
        <f>VLOOKUP(D359,Products!$A:$F,6,FALSE)</f>
        <v>1</v>
      </c>
      <c r="N359">
        <f>VLOOKUP(D359,Products!$A:$F,4,FALSE)</f>
        <v>1412</v>
      </c>
      <c r="O359" t="str">
        <f>VLOOKUP(C359,Customers!$A:$F,5,FALSE)</f>
        <v>SMB</v>
      </c>
      <c r="P359">
        <f>VLOOKUP(C359,Customers!$A:$F,3,FALSE)</f>
        <v>59</v>
      </c>
      <c r="Q359" t="str">
        <f>VLOOKUP(E359,Sales_Reps!$A:$E,3,FALSE)</f>
        <v>West</v>
      </c>
      <c r="R359" t="str">
        <f>VLOOKUP(E359,Sales_Reps!$A:$E,2,FALSE)</f>
        <v>Kiran Bhatt</v>
      </c>
      <c r="S359">
        <f t="shared" si="5"/>
        <v>0.37797356828193834</v>
      </c>
    </row>
    <row r="360" spans="1:19" x14ac:dyDescent="0.3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  <c r="L360" t="str">
        <f>VLOOKUP(D360,Products!$A:$F,3,FALSE)</f>
        <v>Beauty</v>
      </c>
      <c r="M360" t="b">
        <f>VLOOKUP(D360,Products!$A:$F,6,FALSE)</f>
        <v>0</v>
      </c>
      <c r="N360">
        <f>VLOOKUP(D360,Products!$A:$F,4,FALSE)</f>
        <v>647</v>
      </c>
      <c r="O360" t="str">
        <f>VLOOKUP(C360,Customers!$A:$F,5,FALSE)</f>
        <v>Retail</v>
      </c>
      <c r="P360">
        <f>VLOOKUP(C360,Customers!$A:$F,3,FALSE)</f>
        <v>32</v>
      </c>
      <c r="Q360" t="str">
        <f>VLOOKUP(E360,Sales_Reps!$A:$E,3,FALSE)</f>
        <v>South</v>
      </c>
      <c r="R360" t="str">
        <f>VLOOKUP(E360,Sales_Reps!$A:$E,2,FALSE)</f>
        <v>Sanjay Kapoor</v>
      </c>
      <c r="S360">
        <f t="shared" si="5"/>
        <v>0.57987012987012987</v>
      </c>
    </row>
    <row r="361" spans="1:19" x14ac:dyDescent="0.3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  <c r="L361" t="str">
        <f>VLOOKUP(D361,Products!$A:$F,3,FALSE)</f>
        <v>Sports</v>
      </c>
      <c r="M361" t="b">
        <f>VLOOKUP(D361,Products!$A:$F,6,FALSE)</f>
        <v>1</v>
      </c>
      <c r="N361">
        <f>VLOOKUP(D361,Products!$A:$F,4,FALSE)</f>
        <v>2028</v>
      </c>
      <c r="O361" t="str">
        <f>VLOOKUP(C361,Customers!$A:$F,5,FALSE)</f>
        <v>Retail</v>
      </c>
      <c r="P361">
        <f>VLOOKUP(C361,Customers!$A:$F,3,FALSE)</f>
        <v>26</v>
      </c>
      <c r="Q361" t="str">
        <f>VLOOKUP(E361,Sales_Reps!$A:$E,3,FALSE)</f>
        <v>East</v>
      </c>
      <c r="R361" t="str">
        <f>VLOOKUP(E361,Sales_Reps!$A:$E,2,FALSE)</f>
        <v>Gaurav Desai</v>
      </c>
      <c r="S361">
        <f t="shared" si="5"/>
        <v>0.29090909090909089</v>
      </c>
    </row>
    <row r="362" spans="1:19" x14ac:dyDescent="0.3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  <c r="L362" t="str">
        <f>VLOOKUP(D362,Products!$A:$F,3,FALSE)</f>
        <v>Grocery</v>
      </c>
      <c r="M362" t="b">
        <f>VLOOKUP(D362,Products!$A:$F,6,FALSE)</f>
        <v>1</v>
      </c>
      <c r="N362">
        <f>VLOOKUP(D362,Products!$A:$F,4,FALSE)</f>
        <v>1010</v>
      </c>
      <c r="O362" t="str">
        <f>VLOOKUP(C362,Customers!$A:$F,5,FALSE)</f>
        <v>SMB</v>
      </c>
      <c r="P362">
        <f>VLOOKUP(C362,Customers!$A:$F,3,FALSE)</f>
        <v>46</v>
      </c>
      <c r="Q362" t="str">
        <f>VLOOKUP(E362,Sales_Reps!$A:$E,3,FALSE)</f>
        <v>South</v>
      </c>
      <c r="R362" t="str">
        <f>VLOOKUP(E362,Sales_Reps!$A:$E,2,FALSE)</f>
        <v>Anjali Chopra</v>
      </c>
      <c r="S362">
        <f t="shared" si="5"/>
        <v>0.54298642533936647</v>
      </c>
    </row>
    <row r="363" spans="1:19" x14ac:dyDescent="0.3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  <c r="L363" t="str">
        <f>VLOOKUP(D363,Products!$A:$F,3,FALSE)</f>
        <v>Electronics</v>
      </c>
      <c r="M363" t="b">
        <f>VLOOKUP(D363,Products!$A:$F,6,FALSE)</f>
        <v>1</v>
      </c>
      <c r="N363">
        <f>VLOOKUP(D363,Products!$A:$F,4,FALSE)</f>
        <v>517</v>
      </c>
      <c r="O363" t="str">
        <f>VLOOKUP(C363,Customers!$A:$F,5,FALSE)</f>
        <v>SMB</v>
      </c>
      <c r="P363">
        <f>VLOOKUP(C363,Customers!$A:$F,3,FALSE)</f>
        <v>53</v>
      </c>
      <c r="Q363" t="str">
        <f>VLOOKUP(E363,Sales_Reps!$A:$E,3,FALSE)</f>
        <v>West</v>
      </c>
      <c r="R363" t="str">
        <f>VLOOKUP(E363,Sales_Reps!$A:$E,2,FALSE)</f>
        <v>Arun Iyer</v>
      </c>
      <c r="S363">
        <f t="shared" si="5"/>
        <v>0.57622950819672136</v>
      </c>
    </row>
    <row r="364" spans="1:19" x14ac:dyDescent="0.3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  <c r="L364" t="str">
        <f>VLOOKUP(D364,Products!$A:$F,3,FALSE)</f>
        <v>Electronics</v>
      </c>
      <c r="M364" t="b">
        <f>VLOOKUP(D364,Products!$A:$F,6,FALSE)</f>
        <v>1</v>
      </c>
      <c r="N364">
        <f>VLOOKUP(D364,Products!$A:$F,4,FALSE)</f>
        <v>1665</v>
      </c>
      <c r="O364" t="str">
        <f>VLOOKUP(C364,Customers!$A:$F,5,FALSE)</f>
        <v>Corporate</v>
      </c>
      <c r="P364">
        <f>VLOOKUP(C364,Customers!$A:$F,3,FALSE)</f>
        <v>43</v>
      </c>
      <c r="Q364" t="str">
        <f>VLOOKUP(E364,Sales_Reps!$A:$E,3,FALSE)</f>
        <v>North</v>
      </c>
      <c r="R364" t="str">
        <f>VLOOKUP(E364,Sales_Reps!$A:$E,2,FALSE)</f>
        <v>Neha Desai</v>
      </c>
      <c r="S364">
        <f t="shared" si="5"/>
        <v>0.53361344537815125</v>
      </c>
    </row>
    <row r="365" spans="1:19" x14ac:dyDescent="0.3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  <c r="L365" t="str">
        <f>VLOOKUP(D365,Products!$A:$F,3,FALSE)</f>
        <v>Apparel</v>
      </c>
      <c r="M365" t="b">
        <f>VLOOKUP(D365,Products!$A:$F,6,FALSE)</f>
        <v>1</v>
      </c>
      <c r="N365">
        <f>VLOOKUP(D365,Products!$A:$F,4,FALSE)</f>
        <v>1748</v>
      </c>
      <c r="O365" t="str">
        <f>VLOOKUP(C365,Customers!$A:$F,5,FALSE)</f>
        <v>Retail</v>
      </c>
      <c r="P365">
        <f>VLOOKUP(C365,Customers!$A:$F,3,FALSE)</f>
        <v>29</v>
      </c>
      <c r="Q365" t="str">
        <f>VLOOKUP(E365,Sales_Reps!$A:$E,3,FALSE)</f>
        <v>South</v>
      </c>
      <c r="R365" t="str">
        <f>VLOOKUP(E365,Sales_Reps!$A:$E,2,FALSE)</f>
        <v>Anjali Chopra</v>
      </c>
      <c r="S365">
        <f t="shared" si="5"/>
        <v>0.49333333333333335</v>
      </c>
    </row>
    <row r="366" spans="1:19" x14ac:dyDescent="0.3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  <c r="L366" t="str">
        <f>VLOOKUP(D366,Products!$A:$F,3,FALSE)</f>
        <v>Grocery</v>
      </c>
      <c r="M366" t="b">
        <f>VLOOKUP(D366,Products!$A:$F,6,FALSE)</f>
        <v>1</v>
      </c>
      <c r="N366">
        <f>VLOOKUP(D366,Products!$A:$F,4,FALSE)</f>
        <v>1010</v>
      </c>
      <c r="O366" t="str">
        <f>VLOOKUP(C366,Customers!$A:$F,5,FALSE)</f>
        <v>Retail</v>
      </c>
      <c r="P366">
        <f>VLOOKUP(C366,Customers!$A:$F,3,FALSE)</f>
        <v>36</v>
      </c>
      <c r="Q366" t="str">
        <f>VLOOKUP(E366,Sales_Reps!$A:$E,3,FALSE)</f>
        <v>East</v>
      </c>
      <c r="R366" t="str">
        <f>VLOOKUP(E366,Sales_Reps!$A:$E,2,FALSE)</f>
        <v>Gaurav Desai</v>
      </c>
      <c r="S366">
        <f t="shared" si="5"/>
        <v>0.54298642533936647</v>
      </c>
    </row>
    <row r="367" spans="1:19" x14ac:dyDescent="0.3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  <c r="L367" t="str">
        <f>VLOOKUP(D367,Products!$A:$F,3,FALSE)</f>
        <v>Home</v>
      </c>
      <c r="M367" t="b">
        <f>VLOOKUP(D367,Products!$A:$F,6,FALSE)</f>
        <v>1</v>
      </c>
      <c r="N367">
        <f>VLOOKUP(D367,Products!$A:$F,4,FALSE)</f>
        <v>464</v>
      </c>
      <c r="O367" t="str">
        <f>VLOOKUP(C367,Customers!$A:$F,5,FALSE)</f>
        <v>Retail</v>
      </c>
      <c r="P367">
        <f>VLOOKUP(C367,Customers!$A:$F,3,FALSE)</f>
        <v>52</v>
      </c>
      <c r="Q367" t="str">
        <f>VLOOKUP(E367,Sales_Reps!$A:$E,3,FALSE)</f>
        <v>South</v>
      </c>
      <c r="R367" t="str">
        <f>VLOOKUP(E367,Sales_Reps!$A:$E,2,FALSE)</f>
        <v>Ritu Menon</v>
      </c>
      <c r="S367">
        <f t="shared" si="5"/>
        <v>0.57431192660550456</v>
      </c>
    </row>
    <row r="368" spans="1:19" x14ac:dyDescent="0.3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  <c r="L368" t="str">
        <f>VLOOKUP(D368,Products!$A:$F,3,FALSE)</f>
        <v>Beauty</v>
      </c>
      <c r="M368" t="b">
        <f>VLOOKUP(D368,Products!$A:$F,6,FALSE)</f>
        <v>0</v>
      </c>
      <c r="N368">
        <f>VLOOKUP(D368,Products!$A:$F,4,FALSE)</f>
        <v>647</v>
      </c>
      <c r="O368" t="str">
        <f>VLOOKUP(C368,Customers!$A:$F,5,FALSE)</f>
        <v>SMB</v>
      </c>
      <c r="P368">
        <f>VLOOKUP(C368,Customers!$A:$F,3,FALSE)</f>
        <v>26</v>
      </c>
      <c r="Q368" t="str">
        <f>VLOOKUP(E368,Sales_Reps!$A:$E,3,FALSE)</f>
        <v>East</v>
      </c>
      <c r="R368" t="str">
        <f>VLOOKUP(E368,Sales_Reps!$A:$E,2,FALSE)</f>
        <v>Naveen Singh</v>
      </c>
      <c r="S368">
        <f t="shared" si="5"/>
        <v>0.57987012987012987</v>
      </c>
    </row>
    <row r="369" spans="1:19" x14ac:dyDescent="0.3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  <c r="L369" t="str">
        <f>VLOOKUP(D369,Products!$A:$F,3,FALSE)</f>
        <v>Electronics</v>
      </c>
      <c r="M369" t="b">
        <f>VLOOKUP(D369,Products!$A:$F,6,FALSE)</f>
        <v>1</v>
      </c>
      <c r="N369">
        <f>VLOOKUP(D369,Products!$A:$F,4,FALSE)</f>
        <v>1052</v>
      </c>
      <c r="O369" t="str">
        <f>VLOOKUP(C369,Customers!$A:$F,5,FALSE)</f>
        <v>Retail</v>
      </c>
      <c r="P369">
        <f>VLOOKUP(C369,Customers!$A:$F,3,FALSE)</f>
        <v>49</v>
      </c>
      <c r="Q369" t="str">
        <f>VLOOKUP(E369,Sales_Reps!$A:$E,3,FALSE)</f>
        <v>West</v>
      </c>
      <c r="R369" t="str">
        <f>VLOOKUP(E369,Sales_Reps!$A:$E,2,FALSE)</f>
        <v>Preeti Shah</v>
      </c>
      <c r="S369">
        <f t="shared" si="5"/>
        <v>0.5953846153846154</v>
      </c>
    </row>
    <row r="370" spans="1:19" x14ac:dyDescent="0.3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  <c r="L370" t="str">
        <f>VLOOKUP(D370,Products!$A:$F,3,FALSE)</f>
        <v>Sports</v>
      </c>
      <c r="M370" t="b">
        <f>VLOOKUP(D370,Products!$A:$F,6,FALSE)</f>
        <v>1</v>
      </c>
      <c r="N370">
        <f>VLOOKUP(D370,Products!$A:$F,4,FALSE)</f>
        <v>147</v>
      </c>
      <c r="O370" t="str">
        <f>VLOOKUP(C370,Customers!$A:$F,5,FALSE)</f>
        <v>Retail</v>
      </c>
      <c r="P370">
        <f>VLOOKUP(C370,Customers!$A:$F,3,FALSE)</f>
        <v>26</v>
      </c>
      <c r="Q370" t="str">
        <f>VLOOKUP(E370,Sales_Reps!$A:$E,3,FALSE)</f>
        <v>North</v>
      </c>
      <c r="R370" t="str">
        <f>VLOOKUP(E370,Sales_Reps!$A:$E,2,FALSE)</f>
        <v>Suresh Menon</v>
      </c>
      <c r="S370">
        <f t="shared" si="5"/>
        <v>0.22631578947368422</v>
      </c>
    </row>
    <row r="371" spans="1:19" x14ac:dyDescent="0.3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  <c r="L371" t="str">
        <f>VLOOKUP(D371,Products!$A:$F,3,FALSE)</f>
        <v>Apparel</v>
      </c>
      <c r="M371" t="b">
        <f>VLOOKUP(D371,Products!$A:$F,6,FALSE)</f>
        <v>1</v>
      </c>
      <c r="N371">
        <f>VLOOKUP(D371,Products!$A:$F,4,FALSE)</f>
        <v>1173</v>
      </c>
      <c r="O371" t="str">
        <f>VLOOKUP(C371,Customers!$A:$F,5,FALSE)</f>
        <v>Corporate</v>
      </c>
      <c r="P371">
        <f>VLOOKUP(C371,Customers!$A:$F,3,FALSE)</f>
        <v>42</v>
      </c>
      <c r="Q371" t="str">
        <f>VLOOKUP(E371,Sales_Reps!$A:$E,3,FALSE)</f>
        <v>South</v>
      </c>
      <c r="R371" t="str">
        <f>VLOOKUP(E371,Sales_Reps!$A:$E,2,FALSE)</f>
        <v>Ritu Menon</v>
      </c>
      <c r="S371">
        <f t="shared" si="5"/>
        <v>0.52701612903225803</v>
      </c>
    </row>
    <row r="372" spans="1:19" x14ac:dyDescent="0.3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  <c r="L372" t="str">
        <f>VLOOKUP(D372,Products!$A:$F,3,FALSE)</f>
        <v>Beauty</v>
      </c>
      <c r="M372" t="b">
        <f>VLOOKUP(D372,Products!$A:$F,6,FALSE)</f>
        <v>1</v>
      </c>
      <c r="N372">
        <f>VLOOKUP(D372,Products!$A:$F,4,FALSE)</f>
        <v>1219</v>
      </c>
      <c r="O372" t="str">
        <f>VLOOKUP(C372,Customers!$A:$F,5,FALSE)</f>
        <v>Retail</v>
      </c>
      <c r="P372">
        <f>VLOOKUP(C372,Customers!$A:$F,3,FALSE)</f>
        <v>35</v>
      </c>
      <c r="Q372" t="str">
        <f>VLOOKUP(E372,Sales_Reps!$A:$E,3,FALSE)</f>
        <v>North</v>
      </c>
      <c r="R372" t="str">
        <f>VLOOKUP(E372,Sales_Reps!$A:$E,2,FALSE)</f>
        <v>Neha Desai</v>
      </c>
      <c r="S372">
        <f t="shared" si="5"/>
        <v>0.46768558951965067</v>
      </c>
    </row>
    <row r="373" spans="1:19" x14ac:dyDescent="0.3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  <c r="L373" t="str">
        <f>VLOOKUP(D373,Products!$A:$F,3,FALSE)</f>
        <v>Beauty</v>
      </c>
      <c r="M373" t="b">
        <f>VLOOKUP(D373,Products!$A:$F,6,FALSE)</f>
        <v>0</v>
      </c>
      <c r="N373">
        <f>VLOOKUP(D373,Products!$A:$F,4,FALSE)</f>
        <v>647</v>
      </c>
      <c r="O373" t="str">
        <f>VLOOKUP(C373,Customers!$A:$F,5,FALSE)</f>
        <v>Retail</v>
      </c>
      <c r="P373">
        <f>VLOOKUP(C373,Customers!$A:$F,3,FALSE)</f>
        <v>64</v>
      </c>
      <c r="Q373" t="str">
        <f>VLOOKUP(E373,Sales_Reps!$A:$E,3,FALSE)</f>
        <v>South</v>
      </c>
      <c r="R373" t="str">
        <f>VLOOKUP(E373,Sales_Reps!$A:$E,2,FALSE)</f>
        <v>Deepak Shah</v>
      </c>
      <c r="S373">
        <f t="shared" si="5"/>
        <v>0.57987012987012987</v>
      </c>
    </row>
    <row r="374" spans="1:19" x14ac:dyDescent="0.3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  <c r="L374" t="str">
        <f>VLOOKUP(D374,Products!$A:$F,3,FALSE)</f>
        <v>Home</v>
      </c>
      <c r="M374" t="b">
        <f>VLOOKUP(D374,Products!$A:$F,6,FALSE)</f>
        <v>1</v>
      </c>
      <c r="N374">
        <f>VLOOKUP(D374,Products!$A:$F,4,FALSE)</f>
        <v>2459</v>
      </c>
      <c r="O374" t="str">
        <f>VLOOKUP(C374,Customers!$A:$F,5,FALSE)</f>
        <v>SMB</v>
      </c>
      <c r="P374">
        <f>VLOOKUP(C374,Customers!$A:$F,3,FALSE)</f>
        <v>28</v>
      </c>
      <c r="Q374" t="str">
        <f>VLOOKUP(E374,Sales_Reps!$A:$E,3,FALSE)</f>
        <v>West</v>
      </c>
      <c r="R374" t="str">
        <f>VLOOKUP(E374,Sales_Reps!$A:$E,2,FALSE)</f>
        <v>Ashok Reddy</v>
      </c>
      <c r="S374">
        <f t="shared" si="5"/>
        <v>0.51594488188976373</v>
      </c>
    </row>
    <row r="375" spans="1:19" x14ac:dyDescent="0.3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  <c r="L375" t="str">
        <f>VLOOKUP(D375,Products!$A:$F,3,FALSE)</f>
        <v>Apparel</v>
      </c>
      <c r="M375" t="b">
        <f>VLOOKUP(D375,Products!$A:$F,6,FALSE)</f>
        <v>0</v>
      </c>
      <c r="N375">
        <f>VLOOKUP(D375,Products!$A:$F,4,FALSE)</f>
        <v>1075</v>
      </c>
      <c r="O375" t="str">
        <f>VLOOKUP(C375,Customers!$A:$F,5,FALSE)</f>
        <v>Retail</v>
      </c>
      <c r="P375">
        <f>VLOOKUP(C375,Customers!$A:$F,3,FALSE)</f>
        <v>57</v>
      </c>
      <c r="Q375" t="str">
        <f>VLOOKUP(E375,Sales_Reps!$A:$E,3,FALSE)</f>
        <v>South</v>
      </c>
      <c r="R375" t="str">
        <f>VLOOKUP(E375,Sales_Reps!$A:$E,2,FALSE)</f>
        <v>Anjali Chopra</v>
      </c>
      <c r="S375">
        <f t="shared" si="5"/>
        <v>0.57171314741035861</v>
      </c>
    </row>
    <row r="376" spans="1:19" x14ac:dyDescent="0.3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  <c r="L376" t="str">
        <f>VLOOKUP(D376,Products!$A:$F,3,FALSE)</f>
        <v>Beauty</v>
      </c>
      <c r="M376" t="b">
        <f>VLOOKUP(D376,Products!$A:$F,6,FALSE)</f>
        <v>1</v>
      </c>
      <c r="N376">
        <f>VLOOKUP(D376,Products!$A:$F,4,FALSE)</f>
        <v>1219</v>
      </c>
      <c r="O376" t="str">
        <f>VLOOKUP(C376,Customers!$A:$F,5,FALSE)</f>
        <v>SMB</v>
      </c>
      <c r="P376">
        <f>VLOOKUP(C376,Customers!$A:$F,3,FALSE)</f>
        <v>28</v>
      </c>
      <c r="Q376" t="str">
        <f>VLOOKUP(E376,Sales_Reps!$A:$E,3,FALSE)</f>
        <v>South</v>
      </c>
      <c r="R376" t="str">
        <f>VLOOKUP(E376,Sales_Reps!$A:$E,2,FALSE)</f>
        <v>Anil Verma</v>
      </c>
      <c r="S376">
        <f t="shared" si="5"/>
        <v>0.46768558951965067</v>
      </c>
    </row>
    <row r="377" spans="1:19" x14ac:dyDescent="0.3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  <c r="L377" t="str">
        <f>VLOOKUP(D377,Products!$A:$F,3,FALSE)</f>
        <v>Sports</v>
      </c>
      <c r="M377" t="b">
        <f>VLOOKUP(D377,Products!$A:$F,6,FALSE)</f>
        <v>0</v>
      </c>
      <c r="N377">
        <f>VLOOKUP(D377,Products!$A:$F,4,FALSE)</f>
        <v>302</v>
      </c>
      <c r="O377" t="str">
        <f>VLOOKUP(C377,Customers!$A:$F,5,FALSE)</f>
        <v>Retail</v>
      </c>
      <c r="P377">
        <f>VLOOKUP(C377,Customers!$A:$F,3,FALSE)</f>
        <v>28</v>
      </c>
      <c r="Q377" t="str">
        <f>VLOOKUP(E377,Sales_Reps!$A:$E,3,FALSE)</f>
        <v>North</v>
      </c>
      <c r="R377" t="str">
        <f>VLOOKUP(E377,Sales_Reps!$A:$E,2,FALSE)</f>
        <v>Neha Desai</v>
      </c>
      <c r="S377">
        <f t="shared" si="5"/>
        <v>0.35744680851063831</v>
      </c>
    </row>
    <row r="378" spans="1:19" x14ac:dyDescent="0.3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  <c r="L378" t="str">
        <f>VLOOKUP(D378,Products!$A:$F,3,FALSE)</f>
        <v>Beauty</v>
      </c>
      <c r="M378" t="b">
        <f>VLOOKUP(D378,Products!$A:$F,6,FALSE)</f>
        <v>1</v>
      </c>
      <c r="N378">
        <f>VLOOKUP(D378,Products!$A:$F,4,FALSE)</f>
        <v>2237</v>
      </c>
      <c r="O378" t="str">
        <f>VLOOKUP(C378,Customers!$A:$F,5,FALSE)</f>
        <v>SMB</v>
      </c>
      <c r="P378">
        <f>VLOOKUP(C378,Customers!$A:$F,3,FALSE)</f>
        <v>36</v>
      </c>
      <c r="Q378" t="str">
        <f>VLOOKUP(E378,Sales_Reps!$A:$E,3,FALSE)</f>
        <v>South</v>
      </c>
      <c r="R378" t="str">
        <f>VLOOKUP(E378,Sales_Reps!$A:$E,2,FALSE)</f>
        <v>Manoj Patel</v>
      </c>
      <c r="S378">
        <f t="shared" si="5"/>
        <v>0.56137254901960787</v>
      </c>
    </row>
    <row r="379" spans="1:19" x14ac:dyDescent="0.3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  <c r="L379" t="str">
        <f>VLOOKUP(D379,Products!$A:$F,3,FALSE)</f>
        <v>Electronics</v>
      </c>
      <c r="M379" t="b">
        <f>VLOOKUP(D379,Products!$A:$F,6,FALSE)</f>
        <v>1</v>
      </c>
      <c r="N379">
        <f>VLOOKUP(D379,Products!$A:$F,4,FALSE)</f>
        <v>2405</v>
      </c>
      <c r="O379" t="str">
        <f>VLOOKUP(C379,Customers!$A:$F,5,FALSE)</f>
        <v>SMB</v>
      </c>
      <c r="P379">
        <f>VLOOKUP(C379,Customers!$A:$F,3,FALSE)</f>
        <v>59</v>
      </c>
      <c r="Q379" t="str">
        <f>VLOOKUP(E379,Sales_Reps!$A:$E,3,FALSE)</f>
        <v>South</v>
      </c>
      <c r="R379" t="str">
        <f>VLOOKUP(E379,Sales_Reps!$A:$E,2,FALSE)</f>
        <v>Divya Rao</v>
      </c>
      <c r="S379">
        <f t="shared" si="5"/>
        <v>0.54878048780487809</v>
      </c>
    </row>
    <row r="380" spans="1:19" x14ac:dyDescent="0.3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  <c r="L380" t="str">
        <f>VLOOKUP(D380,Products!$A:$F,3,FALSE)</f>
        <v>Home</v>
      </c>
      <c r="M380" t="b">
        <f>VLOOKUP(D380,Products!$A:$F,6,FALSE)</f>
        <v>1</v>
      </c>
      <c r="N380">
        <f>VLOOKUP(D380,Products!$A:$F,4,FALSE)</f>
        <v>1143</v>
      </c>
      <c r="O380" t="str">
        <f>VLOOKUP(C380,Customers!$A:$F,5,FALSE)</f>
        <v>Retail</v>
      </c>
      <c r="P380">
        <f>VLOOKUP(C380,Customers!$A:$F,3,FALSE)</f>
        <v>27</v>
      </c>
      <c r="Q380" t="str">
        <f>VLOOKUP(E380,Sales_Reps!$A:$E,3,FALSE)</f>
        <v>West</v>
      </c>
      <c r="R380" t="str">
        <f>VLOOKUP(E380,Sales_Reps!$A:$E,2,FALSE)</f>
        <v>Preeti Shah</v>
      </c>
      <c r="S380">
        <f t="shared" si="5"/>
        <v>0.43694581280788175</v>
      </c>
    </row>
    <row r="381" spans="1:19" x14ac:dyDescent="0.3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  <c r="L381" t="str">
        <f>VLOOKUP(D381,Products!$A:$F,3,FALSE)</f>
        <v>Home</v>
      </c>
      <c r="M381" t="b">
        <f>VLOOKUP(D381,Products!$A:$F,6,FALSE)</f>
        <v>1</v>
      </c>
      <c r="N381">
        <f>VLOOKUP(D381,Products!$A:$F,4,FALSE)</f>
        <v>2459</v>
      </c>
      <c r="O381" t="str">
        <f>VLOOKUP(C381,Customers!$A:$F,5,FALSE)</f>
        <v>SMB</v>
      </c>
      <c r="P381">
        <f>VLOOKUP(C381,Customers!$A:$F,3,FALSE)</f>
        <v>29</v>
      </c>
      <c r="Q381" t="str">
        <f>VLOOKUP(E381,Sales_Reps!$A:$E,3,FALSE)</f>
        <v>North</v>
      </c>
      <c r="R381" t="str">
        <f>VLOOKUP(E381,Sales_Reps!$A:$E,2,FALSE)</f>
        <v>Amit Singh</v>
      </c>
      <c r="S381">
        <f t="shared" si="5"/>
        <v>0.51594488188976373</v>
      </c>
    </row>
    <row r="382" spans="1:19" x14ac:dyDescent="0.3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  <c r="L382" t="str">
        <f>VLOOKUP(D382,Products!$A:$F,3,FALSE)</f>
        <v>Grocery</v>
      </c>
      <c r="M382" t="b">
        <f>VLOOKUP(D382,Products!$A:$F,6,FALSE)</f>
        <v>1</v>
      </c>
      <c r="N382">
        <f>VLOOKUP(D382,Products!$A:$F,4,FALSE)</f>
        <v>1182</v>
      </c>
      <c r="O382" t="str">
        <f>VLOOKUP(C382,Customers!$A:$F,5,FALSE)</f>
        <v>SMB</v>
      </c>
      <c r="P382">
        <f>VLOOKUP(C382,Customers!$A:$F,3,FALSE)</f>
        <v>40</v>
      </c>
      <c r="Q382" t="str">
        <f>VLOOKUP(E382,Sales_Reps!$A:$E,3,FALSE)</f>
        <v>South</v>
      </c>
      <c r="R382" t="str">
        <f>VLOOKUP(E382,Sales_Reps!$A:$E,2,FALSE)</f>
        <v>Ritu Menon</v>
      </c>
      <c r="S382">
        <f t="shared" si="5"/>
        <v>0.50336134453781511</v>
      </c>
    </row>
    <row r="383" spans="1:19" x14ac:dyDescent="0.3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  <c r="L383" t="str">
        <f>VLOOKUP(D383,Products!$A:$F,3,FALSE)</f>
        <v>Beauty</v>
      </c>
      <c r="M383" t="b">
        <f>VLOOKUP(D383,Products!$A:$F,6,FALSE)</f>
        <v>0</v>
      </c>
      <c r="N383">
        <f>VLOOKUP(D383,Products!$A:$F,4,FALSE)</f>
        <v>647</v>
      </c>
      <c r="O383" t="str">
        <f>VLOOKUP(C383,Customers!$A:$F,5,FALSE)</f>
        <v>SMB</v>
      </c>
      <c r="P383">
        <f>VLOOKUP(C383,Customers!$A:$F,3,FALSE)</f>
        <v>55</v>
      </c>
      <c r="Q383" t="str">
        <f>VLOOKUP(E383,Sales_Reps!$A:$E,3,FALSE)</f>
        <v>West</v>
      </c>
      <c r="R383" t="str">
        <f>VLOOKUP(E383,Sales_Reps!$A:$E,2,FALSE)</f>
        <v>Ramesh Bhatt</v>
      </c>
      <c r="S383">
        <f t="shared" si="5"/>
        <v>0.57987012987012987</v>
      </c>
    </row>
    <row r="384" spans="1:19" x14ac:dyDescent="0.3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  <c r="L384" t="str">
        <f>VLOOKUP(D384,Products!$A:$F,3,FALSE)</f>
        <v>Grocery</v>
      </c>
      <c r="M384" t="b">
        <f>VLOOKUP(D384,Products!$A:$F,6,FALSE)</f>
        <v>1</v>
      </c>
      <c r="N384">
        <f>VLOOKUP(D384,Products!$A:$F,4,FALSE)</f>
        <v>1203</v>
      </c>
      <c r="O384" t="str">
        <f>VLOOKUP(C384,Customers!$A:$F,5,FALSE)</f>
        <v>Retail</v>
      </c>
      <c r="P384">
        <f>VLOOKUP(C384,Customers!$A:$F,3,FALSE)</f>
        <v>31</v>
      </c>
      <c r="Q384" t="str">
        <f>VLOOKUP(E384,Sales_Reps!$A:$E,3,FALSE)</f>
        <v>West</v>
      </c>
      <c r="R384" t="str">
        <f>VLOOKUP(E384,Sales_Reps!$A:$E,2,FALSE)</f>
        <v>Rekha Chopra</v>
      </c>
      <c r="S384">
        <f t="shared" si="5"/>
        <v>0.47004405286343615</v>
      </c>
    </row>
    <row r="385" spans="1:19" x14ac:dyDescent="0.3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  <c r="L385" t="str">
        <f>VLOOKUP(D385,Products!$A:$F,3,FALSE)</f>
        <v>Apparel</v>
      </c>
      <c r="M385" t="b">
        <f>VLOOKUP(D385,Products!$A:$F,6,FALSE)</f>
        <v>1</v>
      </c>
      <c r="N385">
        <f>VLOOKUP(D385,Products!$A:$F,4,FALSE)</f>
        <v>1173</v>
      </c>
      <c r="O385" t="str">
        <f>VLOOKUP(C385,Customers!$A:$F,5,FALSE)</f>
        <v>SMB</v>
      </c>
      <c r="P385">
        <f>VLOOKUP(C385,Customers!$A:$F,3,FALSE)</f>
        <v>60</v>
      </c>
      <c r="Q385" t="str">
        <f>VLOOKUP(E385,Sales_Reps!$A:$E,3,FALSE)</f>
        <v>West</v>
      </c>
      <c r="R385" t="str">
        <f>VLOOKUP(E385,Sales_Reps!$A:$E,2,FALSE)</f>
        <v>Preeti Shah</v>
      </c>
      <c r="S385">
        <f t="shared" si="5"/>
        <v>0.52701612903225803</v>
      </c>
    </row>
    <row r="386" spans="1:19" x14ac:dyDescent="0.3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  <c r="L386" t="str">
        <f>VLOOKUP(D386,Products!$A:$F,3,FALSE)</f>
        <v>Apparel</v>
      </c>
      <c r="M386" t="b">
        <f>VLOOKUP(D386,Products!$A:$F,6,FALSE)</f>
        <v>1</v>
      </c>
      <c r="N386">
        <f>VLOOKUP(D386,Products!$A:$F,4,FALSE)</f>
        <v>2629</v>
      </c>
      <c r="O386" t="str">
        <f>VLOOKUP(C386,Customers!$A:$F,5,FALSE)</f>
        <v>SMB</v>
      </c>
      <c r="P386">
        <f>VLOOKUP(C386,Customers!$A:$F,3,FALSE)</f>
        <v>57</v>
      </c>
      <c r="Q386" t="str">
        <f>VLOOKUP(E386,Sales_Reps!$A:$E,3,FALSE)</f>
        <v>East</v>
      </c>
      <c r="R386" t="str">
        <f>VLOOKUP(E386,Sales_Reps!$A:$E,2,FALSE)</f>
        <v>Prakash Shah</v>
      </c>
      <c r="S386">
        <f t="shared" si="5"/>
        <v>0.26151685393258428</v>
      </c>
    </row>
    <row r="387" spans="1:19" x14ac:dyDescent="0.3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  <c r="L387" t="str">
        <f>VLOOKUP(D387,Products!$A:$F,3,FALSE)</f>
        <v>Electronics</v>
      </c>
      <c r="M387" t="b">
        <f>VLOOKUP(D387,Products!$A:$F,6,FALSE)</f>
        <v>0</v>
      </c>
      <c r="N387">
        <f>VLOOKUP(D387,Products!$A:$F,4,FALSE)</f>
        <v>1259</v>
      </c>
      <c r="O387" t="str">
        <f>VLOOKUP(C387,Customers!$A:$F,5,FALSE)</f>
        <v>Retail</v>
      </c>
      <c r="P387">
        <f>VLOOKUP(C387,Customers!$A:$F,3,FALSE)</f>
        <v>50</v>
      </c>
      <c r="Q387" t="str">
        <f>VLOOKUP(E387,Sales_Reps!$A:$E,3,FALSE)</f>
        <v>North</v>
      </c>
      <c r="R387" t="str">
        <f>VLOOKUP(E387,Sales_Reps!$A:$E,2,FALSE)</f>
        <v>Neha Desai</v>
      </c>
      <c r="S387">
        <f t="shared" ref="S387:S450" si="6">IFERROR((G387-N387)/G387,"")</f>
        <v>0.52669172932330832</v>
      </c>
    </row>
    <row r="388" spans="1:19" x14ac:dyDescent="0.3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  <c r="L388" t="str">
        <f>VLOOKUP(D388,Products!$A:$F,3,FALSE)</f>
        <v>Electronics</v>
      </c>
      <c r="M388" t="b">
        <f>VLOOKUP(D388,Products!$A:$F,6,FALSE)</f>
        <v>1</v>
      </c>
      <c r="N388">
        <f>VLOOKUP(D388,Products!$A:$F,4,FALSE)</f>
        <v>517</v>
      </c>
      <c r="O388" t="str">
        <f>VLOOKUP(C388,Customers!$A:$F,5,FALSE)</f>
        <v>Retail</v>
      </c>
      <c r="P388">
        <f>VLOOKUP(C388,Customers!$A:$F,3,FALSE)</f>
        <v>50</v>
      </c>
      <c r="Q388" t="str">
        <f>VLOOKUP(E388,Sales_Reps!$A:$E,3,FALSE)</f>
        <v>South</v>
      </c>
      <c r="R388" t="str">
        <f>VLOOKUP(E388,Sales_Reps!$A:$E,2,FALSE)</f>
        <v>Sanjay Kapoor</v>
      </c>
      <c r="S388">
        <f t="shared" si="6"/>
        <v>0.57622950819672136</v>
      </c>
    </row>
    <row r="389" spans="1:19" x14ac:dyDescent="0.3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  <c r="L389" t="str">
        <f>VLOOKUP(D389,Products!$A:$F,3,FALSE)</f>
        <v>Electronics</v>
      </c>
      <c r="M389" t="b">
        <f>VLOOKUP(D389,Products!$A:$F,6,FALSE)</f>
        <v>1</v>
      </c>
      <c r="N389">
        <f>VLOOKUP(D389,Products!$A:$F,4,FALSE)</f>
        <v>1052</v>
      </c>
      <c r="O389" t="str">
        <f>VLOOKUP(C389,Customers!$A:$F,5,FALSE)</f>
        <v>SMB</v>
      </c>
      <c r="P389">
        <f>VLOOKUP(C389,Customers!$A:$F,3,FALSE)</f>
        <v>35</v>
      </c>
      <c r="Q389" t="str">
        <f>VLOOKUP(E389,Sales_Reps!$A:$E,3,FALSE)</f>
        <v>South</v>
      </c>
      <c r="R389" t="str">
        <f>VLOOKUP(E389,Sales_Reps!$A:$E,2,FALSE)</f>
        <v>Ritu Menon</v>
      </c>
      <c r="S389">
        <f t="shared" si="6"/>
        <v>0.5953846153846154</v>
      </c>
    </row>
    <row r="390" spans="1:19" x14ac:dyDescent="0.3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  <c r="L390" t="str">
        <f>VLOOKUP(D390,Products!$A:$F,3,FALSE)</f>
        <v>Apparel</v>
      </c>
      <c r="M390" t="b">
        <f>VLOOKUP(D390,Products!$A:$F,6,FALSE)</f>
        <v>1</v>
      </c>
      <c r="N390">
        <f>VLOOKUP(D390,Products!$A:$F,4,FALSE)</f>
        <v>1748</v>
      </c>
      <c r="O390" t="str">
        <f>VLOOKUP(C390,Customers!$A:$F,5,FALSE)</f>
        <v>Retail</v>
      </c>
      <c r="P390">
        <f>VLOOKUP(C390,Customers!$A:$F,3,FALSE)</f>
        <v>49</v>
      </c>
      <c r="Q390" t="str">
        <f>VLOOKUP(E390,Sales_Reps!$A:$E,3,FALSE)</f>
        <v>East</v>
      </c>
      <c r="R390" t="str">
        <f>VLOOKUP(E390,Sales_Reps!$A:$E,2,FALSE)</f>
        <v>Meera Iyer</v>
      </c>
      <c r="S390">
        <f t="shared" si="6"/>
        <v>0.49333333333333335</v>
      </c>
    </row>
    <row r="391" spans="1:19" x14ac:dyDescent="0.3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  <c r="L391" t="str">
        <f>VLOOKUP(D391,Products!$A:$F,3,FALSE)</f>
        <v>Sports</v>
      </c>
      <c r="M391" t="b">
        <f>VLOOKUP(D391,Products!$A:$F,6,FALSE)</f>
        <v>1</v>
      </c>
      <c r="N391">
        <f>VLOOKUP(D391,Products!$A:$F,4,FALSE)</f>
        <v>2827</v>
      </c>
      <c r="O391" t="str">
        <f>VLOOKUP(C391,Customers!$A:$F,5,FALSE)</f>
        <v>Retail</v>
      </c>
      <c r="P391">
        <f>VLOOKUP(C391,Customers!$A:$F,3,FALSE)</f>
        <v>26</v>
      </c>
      <c r="Q391" t="str">
        <f>VLOOKUP(E391,Sales_Reps!$A:$E,3,FALSE)</f>
        <v>East</v>
      </c>
      <c r="R391" t="str">
        <f>VLOOKUP(E391,Sales_Reps!$A:$E,2,FALSE)</f>
        <v>Prakash Shah</v>
      </c>
      <c r="S391">
        <f t="shared" si="6"/>
        <v>0.5926512968299712</v>
      </c>
    </row>
    <row r="392" spans="1:19" x14ac:dyDescent="0.3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  <c r="L392" t="str">
        <f>VLOOKUP(D392,Products!$A:$F,3,FALSE)</f>
        <v>Beauty</v>
      </c>
      <c r="M392" t="b">
        <f>VLOOKUP(D392,Products!$A:$F,6,FALSE)</f>
        <v>1</v>
      </c>
      <c r="N392">
        <f>VLOOKUP(D392,Products!$A:$F,4,FALSE)</f>
        <v>1728</v>
      </c>
      <c r="O392" t="str">
        <f>VLOOKUP(C392,Customers!$A:$F,5,FALSE)</f>
        <v>Retail</v>
      </c>
      <c r="P392">
        <f>VLOOKUP(C392,Customers!$A:$F,3,FALSE)</f>
        <v>22</v>
      </c>
      <c r="Q392" t="str">
        <f>VLOOKUP(E392,Sales_Reps!$A:$E,3,FALSE)</f>
        <v>North</v>
      </c>
      <c r="R392" t="str">
        <f>VLOOKUP(E392,Sales_Reps!$A:$E,2,FALSE)</f>
        <v>Neha Desai</v>
      </c>
      <c r="S392">
        <f t="shared" si="6"/>
        <v>0.48417910447761192</v>
      </c>
    </row>
    <row r="393" spans="1:19" x14ac:dyDescent="0.3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  <c r="L393" t="str">
        <f>VLOOKUP(D393,Products!$A:$F,3,FALSE)</f>
        <v>Beauty</v>
      </c>
      <c r="M393" t="b">
        <f>VLOOKUP(D393,Products!$A:$F,6,FALSE)</f>
        <v>0</v>
      </c>
      <c r="N393">
        <f>VLOOKUP(D393,Products!$A:$F,4,FALSE)</f>
        <v>647</v>
      </c>
      <c r="O393" t="str">
        <f>VLOOKUP(C393,Customers!$A:$F,5,FALSE)</f>
        <v>Retail</v>
      </c>
      <c r="P393">
        <f>VLOOKUP(C393,Customers!$A:$F,3,FALSE)</f>
        <v>63</v>
      </c>
      <c r="Q393" t="str">
        <f>VLOOKUP(E393,Sales_Reps!$A:$E,3,FALSE)</f>
        <v>West</v>
      </c>
      <c r="R393" t="str">
        <f>VLOOKUP(E393,Sales_Reps!$A:$E,2,FALSE)</f>
        <v>Sonia Malhotra</v>
      </c>
      <c r="S393">
        <f t="shared" si="6"/>
        <v>0.57987012987012987</v>
      </c>
    </row>
    <row r="394" spans="1:19" x14ac:dyDescent="0.3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  <c r="L394" t="str">
        <f>VLOOKUP(D394,Products!$A:$F,3,FALSE)</f>
        <v>Apparel</v>
      </c>
      <c r="M394" t="b">
        <f>VLOOKUP(D394,Products!$A:$F,6,FALSE)</f>
        <v>1</v>
      </c>
      <c r="N394">
        <f>VLOOKUP(D394,Products!$A:$F,4,FALSE)</f>
        <v>2509</v>
      </c>
      <c r="O394" t="e">
        <f>VLOOKUP(C394,Customers!$A:$F,5,FALSE)</f>
        <v>#N/A</v>
      </c>
      <c r="P394" t="e">
        <f>VLOOKUP(C394,Customers!$A:$F,3,FALSE)</f>
        <v>#N/A</v>
      </c>
      <c r="Q394" t="str">
        <f>VLOOKUP(E394,Sales_Reps!$A:$E,3,FALSE)</f>
        <v>West</v>
      </c>
      <c r="R394" t="str">
        <f>VLOOKUP(E394,Sales_Reps!$A:$E,2,FALSE)</f>
        <v>Sonia Malhotra</v>
      </c>
      <c r="S394">
        <f t="shared" si="6"/>
        <v>0.3069060773480663</v>
      </c>
    </row>
    <row r="395" spans="1:19" x14ac:dyDescent="0.3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  <c r="L395" t="str">
        <f>VLOOKUP(D395,Products!$A:$F,3,FALSE)</f>
        <v>Sports</v>
      </c>
      <c r="M395" t="b">
        <f>VLOOKUP(D395,Products!$A:$F,6,FALSE)</f>
        <v>0</v>
      </c>
      <c r="N395">
        <f>VLOOKUP(D395,Products!$A:$F,4,FALSE)</f>
        <v>302</v>
      </c>
      <c r="O395" t="str">
        <f>VLOOKUP(C395,Customers!$A:$F,5,FALSE)</f>
        <v>SMB</v>
      </c>
      <c r="P395">
        <f>VLOOKUP(C395,Customers!$A:$F,3,FALSE)</f>
        <v>29</v>
      </c>
      <c r="Q395" t="str">
        <f>VLOOKUP(E395,Sales_Reps!$A:$E,3,FALSE)</f>
        <v>West</v>
      </c>
      <c r="R395" t="str">
        <f>VLOOKUP(E395,Sales_Reps!$A:$E,2,FALSE)</f>
        <v>Sonia Malhotra</v>
      </c>
      <c r="S395">
        <f t="shared" si="6"/>
        <v>0.35744680851063831</v>
      </c>
    </row>
    <row r="396" spans="1:19" x14ac:dyDescent="0.3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  <c r="L396" t="str">
        <f>VLOOKUP(D396,Products!$A:$F,3,FALSE)</f>
        <v>Grocery</v>
      </c>
      <c r="M396" t="b">
        <f>VLOOKUP(D396,Products!$A:$F,6,FALSE)</f>
        <v>0</v>
      </c>
      <c r="N396">
        <f>VLOOKUP(D396,Products!$A:$F,4,FALSE)</f>
        <v>2214</v>
      </c>
      <c r="O396" t="str">
        <f>VLOOKUP(C396,Customers!$A:$F,5,FALSE)</f>
        <v>SMB</v>
      </c>
      <c r="P396">
        <f>VLOOKUP(C396,Customers!$A:$F,3,FALSE)</f>
        <v>39</v>
      </c>
      <c r="Q396" t="str">
        <f>VLOOKUP(E396,Sales_Reps!$A:$E,3,FALSE)</f>
        <v>South</v>
      </c>
      <c r="R396" t="str">
        <f>VLOOKUP(E396,Sales_Reps!$A:$E,2,FALSE)</f>
        <v>Divya Rao</v>
      </c>
      <c r="S396">
        <f t="shared" si="6"/>
        <v>0.39508196721311473</v>
      </c>
    </row>
    <row r="397" spans="1:19" x14ac:dyDescent="0.3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  <c r="L397" t="str">
        <f>VLOOKUP(D397,Products!$A:$F,3,FALSE)</f>
        <v>Sports</v>
      </c>
      <c r="M397" t="b">
        <f>VLOOKUP(D397,Products!$A:$F,6,FALSE)</f>
        <v>1</v>
      </c>
      <c r="N397">
        <f>VLOOKUP(D397,Products!$A:$F,4,FALSE)</f>
        <v>2827</v>
      </c>
      <c r="O397" t="str">
        <f>VLOOKUP(C397,Customers!$A:$F,5,FALSE)</f>
        <v>Corporate</v>
      </c>
      <c r="P397">
        <f>VLOOKUP(C397,Customers!$A:$F,3,FALSE)</f>
        <v>57</v>
      </c>
      <c r="Q397" t="str">
        <f>VLOOKUP(E397,Sales_Reps!$A:$E,3,FALSE)</f>
        <v>East</v>
      </c>
      <c r="R397" t="str">
        <f>VLOOKUP(E397,Sales_Reps!$A:$E,2,FALSE)</f>
        <v>Naveen Singh</v>
      </c>
      <c r="S397">
        <f t="shared" si="6"/>
        <v>0.5926512968299712</v>
      </c>
    </row>
    <row r="398" spans="1:19" x14ac:dyDescent="0.3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  <c r="L398" t="str">
        <f>VLOOKUP(D398,Products!$A:$F,3,FALSE)</f>
        <v>Beauty</v>
      </c>
      <c r="M398" t="b">
        <f>VLOOKUP(D398,Products!$A:$F,6,FALSE)</f>
        <v>1</v>
      </c>
      <c r="N398">
        <f>VLOOKUP(D398,Products!$A:$F,4,FALSE)</f>
        <v>1219</v>
      </c>
      <c r="O398" t="str">
        <f>VLOOKUP(C398,Customers!$A:$F,5,FALSE)</f>
        <v>Corporate</v>
      </c>
      <c r="P398">
        <f>VLOOKUP(C398,Customers!$A:$F,3,FALSE)</f>
        <v>40</v>
      </c>
      <c r="Q398" t="str">
        <f>VLOOKUP(E398,Sales_Reps!$A:$E,3,FALSE)</f>
        <v>North</v>
      </c>
      <c r="R398" t="str">
        <f>VLOOKUP(E398,Sales_Reps!$A:$E,2,FALSE)</f>
        <v>Vikram Patel</v>
      </c>
      <c r="S398">
        <f t="shared" si="6"/>
        <v>0.46768558951965067</v>
      </c>
    </row>
    <row r="399" spans="1:19" x14ac:dyDescent="0.3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  <c r="L399" t="str">
        <f>VLOOKUP(D399,Products!$A:$F,3,FALSE)</f>
        <v>Apparel</v>
      </c>
      <c r="M399" t="b">
        <f>VLOOKUP(D399,Products!$A:$F,6,FALSE)</f>
        <v>1</v>
      </c>
      <c r="N399">
        <f>VLOOKUP(D399,Products!$A:$F,4,FALSE)</f>
        <v>1886</v>
      </c>
      <c r="O399" t="str">
        <f>VLOOKUP(C399,Customers!$A:$F,5,FALSE)</f>
        <v>Retail</v>
      </c>
      <c r="P399">
        <f>VLOOKUP(C399,Customers!$A:$F,3,FALSE)</f>
        <v>61</v>
      </c>
      <c r="Q399" t="str">
        <f>VLOOKUP(E399,Sales_Reps!$A:$E,3,FALSE)</f>
        <v>West</v>
      </c>
      <c r="R399" t="str">
        <f>VLOOKUP(E399,Sales_Reps!$A:$E,2,FALSE)</f>
        <v>Rekha Chopra</v>
      </c>
      <c r="S399">
        <f t="shared" si="6"/>
        <v>0.4031645569620253</v>
      </c>
    </row>
    <row r="400" spans="1:19" x14ac:dyDescent="0.3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  <c r="L400" t="str">
        <f>VLOOKUP(D400,Products!$A:$F,3,FALSE)</f>
        <v>Home</v>
      </c>
      <c r="M400" t="b">
        <f>VLOOKUP(D400,Products!$A:$F,6,FALSE)</f>
        <v>1</v>
      </c>
      <c r="N400">
        <f>VLOOKUP(D400,Products!$A:$F,4,FALSE)</f>
        <v>2459</v>
      </c>
      <c r="O400" t="str">
        <f>VLOOKUP(C400,Customers!$A:$F,5,FALSE)</f>
        <v>Retail</v>
      </c>
      <c r="P400">
        <f>VLOOKUP(C400,Customers!$A:$F,3,FALSE)</f>
        <v>36</v>
      </c>
      <c r="Q400" t="str">
        <f>VLOOKUP(E400,Sales_Reps!$A:$E,3,FALSE)</f>
        <v>West</v>
      </c>
      <c r="R400" t="str">
        <f>VLOOKUP(E400,Sales_Reps!$A:$E,2,FALSE)</f>
        <v>Preeti Shah</v>
      </c>
      <c r="S400">
        <f t="shared" si="6"/>
        <v>0.51594488188976373</v>
      </c>
    </row>
    <row r="401" spans="1:19" x14ac:dyDescent="0.3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  <c r="L401" t="str">
        <f>VLOOKUP(D401,Products!$A:$F,3,FALSE)</f>
        <v>Grocery</v>
      </c>
      <c r="M401" t="b">
        <f>VLOOKUP(D401,Products!$A:$F,6,FALSE)</f>
        <v>1</v>
      </c>
      <c r="N401">
        <f>VLOOKUP(D401,Products!$A:$F,4,FALSE)</f>
        <v>1435</v>
      </c>
      <c r="O401" t="str">
        <f>VLOOKUP(C401,Customers!$A:$F,5,FALSE)</f>
        <v>Retail</v>
      </c>
      <c r="P401">
        <f>VLOOKUP(C401,Customers!$A:$F,3,FALSE)</f>
        <v>64</v>
      </c>
      <c r="Q401" t="str">
        <f>VLOOKUP(E401,Sales_Reps!$A:$E,3,FALSE)</f>
        <v>South</v>
      </c>
      <c r="R401" t="str">
        <f>VLOOKUP(E401,Sales_Reps!$A:$E,2,FALSE)</f>
        <v>Pooja Nair</v>
      </c>
      <c r="S401">
        <f t="shared" si="6"/>
        <v>0.48007246376811596</v>
      </c>
    </row>
    <row r="402" spans="1:19" x14ac:dyDescent="0.3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  <c r="L402" t="str">
        <f>VLOOKUP(D402,Products!$A:$F,3,FALSE)</f>
        <v>Electronics</v>
      </c>
      <c r="M402" t="b">
        <f>VLOOKUP(D402,Products!$A:$F,6,FALSE)</f>
        <v>1</v>
      </c>
      <c r="N402">
        <f>VLOOKUP(D402,Products!$A:$F,4,FALSE)</f>
        <v>517</v>
      </c>
      <c r="O402" t="e">
        <f>VLOOKUP(C402,Customers!$A:$F,5,FALSE)</f>
        <v>#N/A</v>
      </c>
      <c r="P402" t="e">
        <f>VLOOKUP(C402,Customers!$A:$F,3,FALSE)</f>
        <v>#N/A</v>
      </c>
      <c r="Q402" t="str">
        <f>VLOOKUP(E402,Sales_Reps!$A:$E,3,FALSE)</f>
        <v>South</v>
      </c>
      <c r="R402" t="str">
        <f>VLOOKUP(E402,Sales_Reps!$A:$E,2,FALSE)</f>
        <v>Pooja Nair</v>
      </c>
      <c r="S402">
        <f t="shared" si="6"/>
        <v>0.57622950819672136</v>
      </c>
    </row>
    <row r="403" spans="1:19" x14ac:dyDescent="0.3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  <c r="L403" t="str">
        <f>VLOOKUP(D403,Products!$A:$F,3,FALSE)</f>
        <v>Beauty</v>
      </c>
      <c r="M403" t="b">
        <f>VLOOKUP(D403,Products!$A:$F,6,FALSE)</f>
        <v>1</v>
      </c>
      <c r="N403">
        <f>VLOOKUP(D403,Products!$A:$F,4,FALSE)</f>
        <v>2768</v>
      </c>
      <c r="O403" t="str">
        <f>VLOOKUP(C403,Customers!$A:$F,5,FALSE)</f>
        <v>Retail</v>
      </c>
      <c r="P403">
        <f>VLOOKUP(C403,Customers!$A:$F,3,FALSE)</f>
        <v>41</v>
      </c>
      <c r="Q403" t="str">
        <f>VLOOKUP(E403,Sales_Reps!$A:$E,3,FALSE)</f>
        <v>West</v>
      </c>
      <c r="R403" t="str">
        <f>VLOOKUP(E403,Sales_Reps!$A:$E,2,FALSE)</f>
        <v>Preeti Shah</v>
      </c>
      <c r="S403">
        <f t="shared" si="6"/>
        <v>0.43278688524590164</v>
      </c>
    </row>
    <row r="404" spans="1:19" x14ac:dyDescent="0.3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  <c r="L404" t="str">
        <f>VLOOKUP(D404,Products!$A:$F,3,FALSE)</f>
        <v>Grocery</v>
      </c>
      <c r="M404" t="b">
        <f>VLOOKUP(D404,Products!$A:$F,6,FALSE)</f>
        <v>1</v>
      </c>
      <c r="N404">
        <f>VLOOKUP(D404,Products!$A:$F,4,FALSE)</f>
        <v>2027</v>
      </c>
      <c r="O404" t="str">
        <f>VLOOKUP(C404,Customers!$A:$F,5,FALSE)</f>
        <v>SMB</v>
      </c>
      <c r="P404">
        <f>VLOOKUP(C404,Customers!$A:$F,3,FALSE)</f>
        <v>64</v>
      </c>
      <c r="Q404" t="str">
        <f>VLOOKUP(E404,Sales_Reps!$A:$E,3,FALSE)</f>
        <v>East</v>
      </c>
      <c r="R404" t="str">
        <f>VLOOKUP(E404,Sales_Reps!$A:$E,2,FALSE)</f>
        <v>Nisha Menon</v>
      </c>
      <c r="S404">
        <f t="shared" si="6"/>
        <v>0.50196560196560192</v>
      </c>
    </row>
    <row r="405" spans="1:19" x14ac:dyDescent="0.3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  <c r="L405" t="str">
        <f>VLOOKUP(D405,Products!$A:$F,3,FALSE)</f>
        <v>Electronics</v>
      </c>
      <c r="M405" t="b">
        <f>VLOOKUP(D405,Products!$A:$F,6,FALSE)</f>
        <v>1</v>
      </c>
      <c r="N405">
        <f>VLOOKUP(D405,Products!$A:$F,4,FALSE)</f>
        <v>2865</v>
      </c>
      <c r="O405" t="str">
        <f>VLOOKUP(C405,Customers!$A:$F,5,FALSE)</f>
        <v>SMB</v>
      </c>
      <c r="P405">
        <f>VLOOKUP(C405,Customers!$A:$F,3,FALSE)</f>
        <v>65</v>
      </c>
      <c r="Q405" t="str">
        <f>VLOOKUP(E405,Sales_Reps!$A:$E,3,FALSE)</f>
        <v>West</v>
      </c>
      <c r="R405" t="str">
        <f>VLOOKUP(E405,Sales_Reps!$A:$E,2,FALSE)</f>
        <v>Preeti Shah</v>
      </c>
      <c r="S405">
        <f t="shared" si="6"/>
        <v>0.27833753148614609</v>
      </c>
    </row>
    <row r="406" spans="1:19" x14ac:dyDescent="0.3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  <c r="L406" t="str">
        <f>VLOOKUP(D406,Products!$A:$F,3,FALSE)</f>
        <v>Electronics</v>
      </c>
      <c r="M406" t="b">
        <f>VLOOKUP(D406,Products!$A:$F,6,FALSE)</f>
        <v>0</v>
      </c>
      <c r="N406">
        <f>VLOOKUP(D406,Products!$A:$F,4,FALSE)</f>
        <v>1259</v>
      </c>
      <c r="O406" t="str">
        <f>VLOOKUP(C406,Customers!$A:$F,5,FALSE)</f>
        <v>Corporate</v>
      </c>
      <c r="P406">
        <f>VLOOKUP(C406,Customers!$A:$F,3,FALSE)</f>
        <v>55</v>
      </c>
      <c r="Q406" t="str">
        <f>VLOOKUP(E406,Sales_Reps!$A:$E,3,FALSE)</f>
        <v>East</v>
      </c>
      <c r="R406" t="str">
        <f>VLOOKUP(E406,Sales_Reps!$A:$E,2,FALSE)</f>
        <v>Shalini Patel</v>
      </c>
      <c r="S406">
        <f t="shared" si="6"/>
        <v>0.52669172932330832</v>
      </c>
    </row>
    <row r="407" spans="1:19" x14ac:dyDescent="0.3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  <c r="L407" t="str">
        <f>VLOOKUP(D407,Products!$A:$F,3,FALSE)</f>
        <v>Sports</v>
      </c>
      <c r="M407" t="b">
        <f>VLOOKUP(D407,Products!$A:$F,6,FALSE)</f>
        <v>1</v>
      </c>
      <c r="N407">
        <f>VLOOKUP(D407,Products!$A:$F,4,FALSE)</f>
        <v>2028</v>
      </c>
      <c r="O407" t="str">
        <f>VLOOKUP(C407,Customers!$A:$F,5,FALSE)</f>
        <v>Retail</v>
      </c>
      <c r="P407">
        <f>VLOOKUP(C407,Customers!$A:$F,3,FALSE)</f>
        <v>36</v>
      </c>
      <c r="Q407" t="str">
        <f>VLOOKUP(E407,Sales_Reps!$A:$E,3,FALSE)</f>
        <v>East</v>
      </c>
      <c r="R407" t="str">
        <f>VLOOKUP(E407,Sales_Reps!$A:$E,2,FALSE)</f>
        <v>Nisha Menon</v>
      </c>
      <c r="S407">
        <f t="shared" si="6"/>
        <v>0.29090909090909089</v>
      </c>
    </row>
    <row r="408" spans="1:19" x14ac:dyDescent="0.3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  <c r="L408" t="str">
        <f>VLOOKUP(D408,Products!$A:$F,3,FALSE)</f>
        <v>Electronics</v>
      </c>
      <c r="M408" t="b">
        <f>VLOOKUP(D408,Products!$A:$F,6,FALSE)</f>
        <v>1</v>
      </c>
      <c r="N408">
        <f>VLOOKUP(D408,Products!$A:$F,4,FALSE)</f>
        <v>517</v>
      </c>
      <c r="O408" t="str">
        <f>VLOOKUP(C408,Customers!$A:$F,5,FALSE)</f>
        <v>Retail</v>
      </c>
      <c r="P408">
        <f>VLOOKUP(C408,Customers!$A:$F,3,FALSE)</f>
        <v>35</v>
      </c>
      <c r="Q408" t="str">
        <f>VLOOKUP(E408,Sales_Reps!$A:$E,3,FALSE)</f>
        <v>North</v>
      </c>
      <c r="R408" t="str">
        <f>VLOOKUP(E408,Sales_Reps!$A:$E,2,FALSE)</f>
        <v>Suresh Menon</v>
      </c>
      <c r="S408">
        <f t="shared" si="6"/>
        <v>0.57622950819672136</v>
      </c>
    </row>
    <row r="409" spans="1:19" x14ac:dyDescent="0.3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  <c r="L409" t="str">
        <f>VLOOKUP(D409,Products!$A:$F,3,FALSE)</f>
        <v>Grocery</v>
      </c>
      <c r="M409" t="b">
        <f>VLOOKUP(D409,Products!$A:$F,6,FALSE)</f>
        <v>1</v>
      </c>
      <c r="N409">
        <f>VLOOKUP(D409,Products!$A:$F,4,FALSE)</f>
        <v>1412</v>
      </c>
      <c r="O409" t="str">
        <f>VLOOKUP(C409,Customers!$A:$F,5,FALSE)</f>
        <v>Corporate</v>
      </c>
      <c r="P409">
        <f>VLOOKUP(C409,Customers!$A:$F,3,FALSE)</f>
        <v>31</v>
      </c>
      <c r="Q409" t="str">
        <f>VLOOKUP(E409,Sales_Reps!$A:$E,3,FALSE)</f>
        <v>West</v>
      </c>
      <c r="R409" t="str">
        <f>VLOOKUP(E409,Sales_Reps!$A:$E,2,FALSE)</f>
        <v>Sonia Malhotra</v>
      </c>
      <c r="S409">
        <f t="shared" si="6"/>
        <v>0.37797356828193834</v>
      </c>
    </row>
    <row r="410" spans="1:19" x14ac:dyDescent="0.3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  <c r="L410" t="str">
        <f>VLOOKUP(D410,Products!$A:$F,3,FALSE)</f>
        <v>Home</v>
      </c>
      <c r="M410" t="b">
        <f>VLOOKUP(D410,Products!$A:$F,6,FALSE)</f>
        <v>1</v>
      </c>
      <c r="N410">
        <f>VLOOKUP(D410,Products!$A:$F,4,FALSE)</f>
        <v>329</v>
      </c>
      <c r="O410" t="str">
        <f>VLOOKUP(C410,Customers!$A:$F,5,FALSE)</f>
        <v>SMB</v>
      </c>
      <c r="P410">
        <f>VLOOKUP(C410,Customers!$A:$F,3,FALSE)</f>
        <v>65</v>
      </c>
      <c r="Q410" t="str">
        <f>VLOOKUP(E410,Sales_Reps!$A:$E,3,FALSE)</f>
        <v>North</v>
      </c>
      <c r="R410" t="str">
        <f>VLOOKUP(E410,Sales_Reps!$A:$E,2,FALSE)</f>
        <v>Sunita Malhotra</v>
      </c>
      <c r="S410">
        <f t="shared" si="6"/>
        <v>0.50151515151515147</v>
      </c>
    </row>
    <row r="411" spans="1:19" x14ac:dyDescent="0.3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  <c r="L411" t="str">
        <f>VLOOKUP(D411,Products!$A:$F,3,FALSE)</f>
        <v>Apparel</v>
      </c>
      <c r="M411" t="b">
        <f>VLOOKUP(D411,Products!$A:$F,6,FALSE)</f>
        <v>1</v>
      </c>
      <c r="N411">
        <f>VLOOKUP(D411,Products!$A:$F,4,FALSE)</f>
        <v>1886</v>
      </c>
      <c r="O411" t="str">
        <f>VLOOKUP(C411,Customers!$A:$F,5,FALSE)</f>
        <v>Corporate</v>
      </c>
      <c r="P411">
        <f>VLOOKUP(C411,Customers!$A:$F,3,FALSE)</f>
        <v>38</v>
      </c>
      <c r="Q411" t="str">
        <f>VLOOKUP(E411,Sales_Reps!$A:$E,3,FALSE)</f>
        <v>South</v>
      </c>
      <c r="R411" t="str">
        <f>VLOOKUP(E411,Sales_Reps!$A:$E,2,FALSE)</f>
        <v>Ritu Menon</v>
      </c>
      <c r="S411">
        <f t="shared" si="6"/>
        <v>0.4031645569620253</v>
      </c>
    </row>
    <row r="412" spans="1:19" x14ac:dyDescent="0.3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  <c r="L412" t="str">
        <f>VLOOKUP(D412,Products!$A:$F,3,FALSE)</f>
        <v>Electronics</v>
      </c>
      <c r="M412" t="b">
        <f>VLOOKUP(D412,Products!$A:$F,6,FALSE)</f>
        <v>1</v>
      </c>
      <c r="N412">
        <f>VLOOKUP(D412,Products!$A:$F,4,FALSE)</f>
        <v>1052</v>
      </c>
      <c r="O412" t="str">
        <f>VLOOKUP(C412,Customers!$A:$F,5,FALSE)</f>
        <v>Retail</v>
      </c>
      <c r="P412">
        <f>VLOOKUP(C412,Customers!$A:$F,3,FALSE)</f>
        <v>36</v>
      </c>
      <c r="Q412" t="str">
        <f>VLOOKUP(E412,Sales_Reps!$A:$E,3,FALSE)</f>
        <v>South</v>
      </c>
      <c r="R412" t="str">
        <f>VLOOKUP(E412,Sales_Reps!$A:$E,2,FALSE)</f>
        <v>Sanjay Kapoor</v>
      </c>
      <c r="S412">
        <f t="shared" si="6"/>
        <v>0.5953846153846154</v>
      </c>
    </row>
    <row r="413" spans="1:19" x14ac:dyDescent="0.3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  <c r="L413" t="str">
        <f>VLOOKUP(D413,Products!$A:$F,3,FALSE)</f>
        <v>Home</v>
      </c>
      <c r="M413" t="b">
        <f>VLOOKUP(D413,Products!$A:$F,6,FALSE)</f>
        <v>1</v>
      </c>
      <c r="N413">
        <f>VLOOKUP(D413,Products!$A:$F,4,FALSE)</f>
        <v>1850</v>
      </c>
      <c r="O413" t="str">
        <f>VLOOKUP(C413,Customers!$A:$F,5,FALSE)</f>
        <v>Retail</v>
      </c>
      <c r="P413">
        <f>VLOOKUP(C413,Customers!$A:$F,3,FALSE)</f>
        <v>32</v>
      </c>
      <c r="Q413" t="str">
        <f>VLOOKUP(E413,Sales_Reps!$A:$E,3,FALSE)</f>
        <v>South</v>
      </c>
      <c r="R413" t="str">
        <f>VLOOKUP(E413,Sales_Reps!$A:$E,2,FALSE)</f>
        <v>Ritu Menon</v>
      </c>
      <c r="S413">
        <f t="shared" si="6"/>
        <v>0.59869848156182215</v>
      </c>
    </row>
    <row r="414" spans="1:19" x14ac:dyDescent="0.3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  <c r="L414" t="str">
        <f>VLOOKUP(D414,Products!$A:$F,3,FALSE)</f>
        <v>Apparel</v>
      </c>
      <c r="M414" t="b">
        <f>VLOOKUP(D414,Products!$A:$F,6,FALSE)</f>
        <v>1</v>
      </c>
      <c r="N414">
        <f>VLOOKUP(D414,Products!$A:$F,4,FALSE)</f>
        <v>2611</v>
      </c>
      <c r="O414" t="str">
        <f>VLOOKUP(C414,Customers!$A:$F,5,FALSE)</f>
        <v>Retail</v>
      </c>
      <c r="P414">
        <f>VLOOKUP(C414,Customers!$A:$F,3,FALSE)</f>
        <v>62</v>
      </c>
      <c r="Q414" t="str">
        <f>VLOOKUP(E414,Sales_Reps!$A:$E,3,FALSE)</f>
        <v>East</v>
      </c>
      <c r="R414" t="str">
        <f>VLOOKUP(E414,Sales_Reps!$A:$E,2,FALSE)</f>
        <v>Shalini Patel</v>
      </c>
      <c r="S414">
        <f t="shared" si="6"/>
        <v>0.28269230769230769</v>
      </c>
    </row>
    <row r="415" spans="1:19" x14ac:dyDescent="0.3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  <c r="L415" t="str">
        <f>VLOOKUP(D415,Products!$A:$F,3,FALSE)</f>
        <v>Apparel</v>
      </c>
      <c r="M415" t="b">
        <f>VLOOKUP(D415,Products!$A:$F,6,FALSE)</f>
        <v>1</v>
      </c>
      <c r="N415">
        <f>VLOOKUP(D415,Products!$A:$F,4,FALSE)</f>
        <v>1962</v>
      </c>
      <c r="O415" t="str">
        <f>VLOOKUP(C415,Customers!$A:$F,5,FALSE)</f>
        <v>SMB</v>
      </c>
      <c r="P415">
        <f>VLOOKUP(C415,Customers!$A:$F,3,FALSE)</f>
        <v>29</v>
      </c>
      <c r="Q415" t="str">
        <f>VLOOKUP(E415,Sales_Reps!$A:$E,3,FALSE)</f>
        <v>North</v>
      </c>
      <c r="R415" t="str">
        <f>VLOOKUP(E415,Sales_Reps!$A:$E,2,FALSE)</f>
        <v>Priya Singh</v>
      </c>
      <c r="S415">
        <f t="shared" si="6"/>
        <v>0.2786764705882353</v>
      </c>
    </row>
    <row r="416" spans="1:19" x14ac:dyDescent="0.3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  <c r="L416" t="str">
        <f>VLOOKUP(D416,Products!$A:$F,3,FALSE)</f>
        <v>Sports</v>
      </c>
      <c r="M416" t="b">
        <f>VLOOKUP(D416,Products!$A:$F,6,FALSE)</f>
        <v>1</v>
      </c>
      <c r="N416">
        <f>VLOOKUP(D416,Products!$A:$F,4,FALSE)</f>
        <v>1860</v>
      </c>
      <c r="O416" t="str">
        <f>VLOOKUP(C416,Customers!$A:$F,5,FALSE)</f>
        <v>Retail</v>
      </c>
      <c r="P416">
        <f>VLOOKUP(C416,Customers!$A:$F,3,FALSE)</f>
        <v>45</v>
      </c>
      <c r="Q416" t="str">
        <f>VLOOKUP(E416,Sales_Reps!$A:$E,3,FALSE)</f>
        <v>North</v>
      </c>
      <c r="R416" t="str">
        <f>VLOOKUP(E416,Sales_Reps!$A:$E,2,FALSE)</f>
        <v>Kavita Patel</v>
      </c>
      <c r="S416">
        <f t="shared" si="6"/>
        <v>0.50793650793650791</v>
      </c>
    </row>
    <row r="417" spans="1:19" x14ac:dyDescent="0.3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  <c r="L417" t="str">
        <f>VLOOKUP(D417,Products!$A:$F,3,FALSE)</f>
        <v>Home</v>
      </c>
      <c r="M417" t="b">
        <f>VLOOKUP(D417,Products!$A:$F,6,FALSE)</f>
        <v>1</v>
      </c>
      <c r="N417">
        <f>VLOOKUP(D417,Products!$A:$F,4,FALSE)</f>
        <v>464</v>
      </c>
      <c r="O417" t="str">
        <f>VLOOKUP(C417,Customers!$A:$F,5,FALSE)</f>
        <v>Retail</v>
      </c>
      <c r="P417">
        <f>VLOOKUP(C417,Customers!$A:$F,3,FALSE)</f>
        <v>52</v>
      </c>
      <c r="Q417" t="str">
        <f>VLOOKUP(E417,Sales_Reps!$A:$E,3,FALSE)</f>
        <v>West</v>
      </c>
      <c r="R417" t="str">
        <f>VLOOKUP(E417,Sales_Reps!$A:$E,2,FALSE)</f>
        <v>Kiran Bhatt</v>
      </c>
      <c r="S417">
        <f t="shared" si="6"/>
        <v>0.57431192660550456</v>
      </c>
    </row>
    <row r="418" spans="1:19" x14ac:dyDescent="0.3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  <c r="L418" t="str">
        <f>VLOOKUP(D418,Products!$A:$F,3,FALSE)</f>
        <v>Home</v>
      </c>
      <c r="M418" t="b">
        <f>VLOOKUP(D418,Products!$A:$F,6,FALSE)</f>
        <v>1</v>
      </c>
      <c r="N418">
        <f>VLOOKUP(D418,Products!$A:$F,4,FALSE)</f>
        <v>464</v>
      </c>
      <c r="O418" t="str">
        <f>VLOOKUP(C418,Customers!$A:$F,5,FALSE)</f>
        <v>Retail</v>
      </c>
      <c r="P418">
        <f>VLOOKUP(C418,Customers!$A:$F,3,FALSE)</f>
        <v>26</v>
      </c>
      <c r="Q418" t="str">
        <f>VLOOKUP(E418,Sales_Reps!$A:$E,3,FALSE)</f>
        <v>West</v>
      </c>
      <c r="R418" t="str">
        <f>VLOOKUP(E418,Sales_Reps!$A:$E,2,FALSE)</f>
        <v>Preeti Shah</v>
      </c>
      <c r="S418">
        <f t="shared" si="6"/>
        <v>0.57431192660550456</v>
      </c>
    </row>
    <row r="419" spans="1:19" x14ac:dyDescent="0.3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  <c r="L419" t="str">
        <f>VLOOKUP(D419,Products!$A:$F,3,FALSE)</f>
        <v>Apparel</v>
      </c>
      <c r="M419" t="b">
        <f>VLOOKUP(D419,Products!$A:$F,6,FALSE)</f>
        <v>0</v>
      </c>
      <c r="N419">
        <f>VLOOKUP(D419,Products!$A:$F,4,FALSE)</f>
        <v>1075</v>
      </c>
      <c r="O419" t="str">
        <f>VLOOKUP(C419,Customers!$A:$F,5,FALSE)</f>
        <v>Retail</v>
      </c>
      <c r="P419">
        <f>VLOOKUP(C419,Customers!$A:$F,3,FALSE)</f>
        <v>44</v>
      </c>
      <c r="Q419" t="str">
        <f>VLOOKUP(E419,Sales_Reps!$A:$E,3,FALSE)</f>
        <v>West</v>
      </c>
      <c r="R419" t="str">
        <f>VLOOKUP(E419,Sales_Reps!$A:$E,2,FALSE)</f>
        <v>Kiran Bhatt</v>
      </c>
      <c r="S419">
        <f t="shared" si="6"/>
        <v>0.57171314741035861</v>
      </c>
    </row>
    <row r="420" spans="1:19" x14ac:dyDescent="0.3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  <c r="L420" t="str">
        <f>VLOOKUP(D420,Products!$A:$F,3,FALSE)</f>
        <v>Electronics</v>
      </c>
      <c r="M420" t="b">
        <f>VLOOKUP(D420,Products!$A:$F,6,FALSE)</f>
        <v>1</v>
      </c>
      <c r="N420">
        <f>VLOOKUP(D420,Products!$A:$F,4,FALSE)</f>
        <v>2865</v>
      </c>
      <c r="O420" t="str">
        <f>VLOOKUP(C420,Customers!$A:$F,5,FALSE)</f>
        <v>Retail</v>
      </c>
      <c r="P420">
        <f>VLOOKUP(C420,Customers!$A:$F,3,FALSE)</f>
        <v>43</v>
      </c>
      <c r="Q420" t="str">
        <f>VLOOKUP(E420,Sales_Reps!$A:$E,3,FALSE)</f>
        <v>South</v>
      </c>
      <c r="R420" t="str">
        <f>VLOOKUP(E420,Sales_Reps!$A:$E,2,FALSE)</f>
        <v>Divya Rao</v>
      </c>
      <c r="S420">
        <f t="shared" si="6"/>
        <v>0.27833753148614609</v>
      </c>
    </row>
    <row r="421" spans="1:19" x14ac:dyDescent="0.3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  <c r="L421" t="str">
        <f>VLOOKUP(D421,Products!$A:$F,3,FALSE)</f>
        <v>Grocery</v>
      </c>
      <c r="M421" t="b">
        <f>VLOOKUP(D421,Products!$A:$F,6,FALSE)</f>
        <v>1</v>
      </c>
      <c r="N421">
        <f>VLOOKUP(D421,Products!$A:$F,4,FALSE)</f>
        <v>2027</v>
      </c>
      <c r="O421" t="str">
        <f>VLOOKUP(C421,Customers!$A:$F,5,FALSE)</f>
        <v>Retail</v>
      </c>
      <c r="P421">
        <f>VLOOKUP(C421,Customers!$A:$F,3,FALSE)</f>
        <v>44</v>
      </c>
      <c r="Q421" t="str">
        <f>VLOOKUP(E421,Sales_Reps!$A:$E,3,FALSE)</f>
        <v>North</v>
      </c>
      <c r="R421" t="str">
        <f>VLOOKUP(E421,Sales_Reps!$A:$E,2,FALSE)</f>
        <v>Rajesh Malhotra</v>
      </c>
      <c r="S421">
        <f t="shared" si="6"/>
        <v>0.50196560196560192</v>
      </c>
    </row>
    <row r="422" spans="1:19" x14ac:dyDescent="0.3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  <c r="L422" t="str">
        <f>VLOOKUP(D422,Products!$A:$F,3,FALSE)</f>
        <v>Home</v>
      </c>
      <c r="M422" t="b">
        <f>VLOOKUP(D422,Products!$A:$F,6,FALSE)</f>
        <v>1</v>
      </c>
      <c r="N422">
        <f>VLOOKUP(D422,Products!$A:$F,4,FALSE)</f>
        <v>2549</v>
      </c>
      <c r="O422" t="str">
        <f>VLOOKUP(C422,Customers!$A:$F,5,FALSE)</f>
        <v>Retail</v>
      </c>
      <c r="P422">
        <f>VLOOKUP(C422,Customers!$A:$F,3,FALSE)</f>
        <v>24</v>
      </c>
      <c r="Q422" t="str">
        <f>VLOOKUP(E422,Sales_Reps!$A:$E,3,FALSE)</f>
        <v>North</v>
      </c>
      <c r="R422" t="str">
        <f>VLOOKUP(E422,Sales_Reps!$A:$E,2,FALSE)</f>
        <v>Priya Singh</v>
      </c>
      <c r="S422">
        <f t="shared" si="6"/>
        <v>0.53570127504553733</v>
      </c>
    </row>
    <row r="423" spans="1:19" x14ac:dyDescent="0.3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  <c r="L423" t="str">
        <f>VLOOKUP(D423,Products!$A:$F,3,FALSE)</f>
        <v>Sports</v>
      </c>
      <c r="M423" t="b">
        <f>VLOOKUP(D423,Products!$A:$F,6,FALSE)</f>
        <v>1</v>
      </c>
      <c r="N423">
        <f>VLOOKUP(D423,Products!$A:$F,4,FALSE)</f>
        <v>516</v>
      </c>
      <c r="O423" t="str">
        <f>VLOOKUP(C423,Customers!$A:$F,5,FALSE)</f>
        <v>Retail</v>
      </c>
      <c r="P423">
        <f>VLOOKUP(C423,Customers!$A:$F,3,FALSE)</f>
        <v>52</v>
      </c>
      <c r="Q423" t="str">
        <f>VLOOKUP(E423,Sales_Reps!$A:$E,3,FALSE)</f>
        <v>East</v>
      </c>
      <c r="R423" t="str">
        <f>VLOOKUP(E423,Sales_Reps!$A:$E,2,FALSE)</f>
        <v>Nisha Menon</v>
      </c>
      <c r="S423">
        <f t="shared" si="6"/>
        <v>0.4891089108910891</v>
      </c>
    </row>
    <row r="424" spans="1:19" x14ac:dyDescent="0.3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  <c r="L424" t="str">
        <f>VLOOKUP(D424,Products!$A:$F,3,FALSE)</f>
        <v>Grocery</v>
      </c>
      <c r="M424" t="b">
        <f>VLOOKUP(D424,Products!$A:$F,6,FALSE)</f>
        <v>0</v>
      </c>
      <c r="N424">
        <f>VLOOKUP(D424,Products!$A:$F,4,FALSE)</f>
        <v>2214</v>
      </c>
      <c r="O424" t="str">
        <f>VLOOKUP(C424,Customers!$A:$F,5,FALSE)</f>
        <v>Retail</v>
      </c>
      <c r="P424">
        <f>VLOOKUP(C424,Customers!$A:$F,3,FALSE)</f>
        <v>37</v>
      </c>
      <c r="Q424" t="str">
        <f>VLOOKUP(E424,Sales_Reps!$A:$E,3,FALSE)</f>
        <v>North</v>
      </c>
      <c r="R424" t="str">
        <f>VLOOKUP(E424,Sales_Reps!$A:$E,2,FALSE)</f>
        <v>Kavita Patel</v>
      </c>
      <c r="S424">
        <f t="shared" si="6"/>
        <v>0.39508196721311473</v>
      </c>
    </row>
    <row r="425" spans="1:19" x14ac:dyDescent="0.3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  <c r="L425" t="str">
        <f>VLOOKUP(D425,Products!$A:$F,3,FALSE)</f>
        <v>Beauty</v>
      </c>
      <c r="M425" t="b">
        <f>VLOOKUP(D425,Products!$A:$F,6,FALSE)</f>
        <v>1</v>
      </c>
      <c r="N425">
        <f>VLOOKUP(D425,Products!$A:$F,4,FALSE)</f>
        <v>2420</v>
      </c>
      <c r="O425" t="str">
        <f>VLOOKUP(C425,Customers!$A:$F,5,FALSE)</f>
        <v>Retail</v>
      </c>
      <c r="P425">
        <f>VLOOKUP(C425,Customers!$A:$F,3,FALSE)</f>
        <v>22</v>
      </c>
      <c r="Q425" t="str">
        <f>VLOOKUP(E425,Sales_Reps!$A:$E,3,FALSE)</f>
        <v>South</v>
      </c>
      <c r="R425" t="str">
        <f>VLOOKUP(E425,Sales_Reps!$A:$E,2,FALSE)</f>
        <v>Anjali Chopra</v>
      </c>
      <c r="S425">
        <f t="shared" si="6"/>
        <v>0.29855072463768118</v>
      </c>
    </row>
    <row r="426" spans="1:19" x14ac:dyDescent="0.3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  <c r="L426" t="str">
        <f>VLOOKUP(D426,Products!$A:$F,3,FALSE)</f>
        <v>Grocery</v>
      </c>
      <c r="M426" t="b">
        <f>VLOOKUP(D426,Products!$A:$F,6,FALSE)</f>
        <v>1</v>
      </c>
      <c r="N426">
        <f>VLOOKUP(D426,Products!$A:$F,4,FALSE)</f>
        <v>2027</v>
      </c>
      <c r="O426" t="str">
        <f>VLOOKUP(C426,Customers!$A:$F,5,FALSE)</f>
        <v>Retail</v>
      </c>
      <c r="P426">
        <f>VLOOKUP(C426,Customers!$A:$F,3,FALSE)</f>
        <v>37</v>
      </c>
      <c r="Q426" t="str">
        <f>VLOOKUP(E426,Sales_Reps!$A:$E,3,FALSE)</f>
        <v>South</v>
      </c>
      <c r="R426" t="str">
        <f>VLOOKUP(E426,Sales_Reps!$A:$E,2,FALSE)</f>
        <v>Anil Verma</v>
      </c>
      <c r="S426">
        <f t="shared" si="6"/>
        <v>0.50196560196560192</v>
      </c>
    </row>
    <row r="427" spans="1:19" x14ac:dyDescent="0.3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  <c r="L427" t="str">
        <f>VLOOKUP(D427,Products!$A:$F,3,FALSE)</f>
        <v>Electronics</v>
      </c>
      <c r="M427" t="b">
        <f>VLOOKUP(D427,Products!$A:$F,6,FALSE)</f>
        <v>1</v>
      </c>
      <c r="N427">
        <f>VLOOKUP(D427,Products!$A:$F,4,FALSE)</f>
        <v>1665</v>
      </c>
      <c r="O427" t="str">
        <f>VLOOKUP(C427,Customers!$A:$F,5,FALSE)</f>
        <v>Corporate</v>
      </c>
      <c r="P427">
        <f>VLOOKUP(C427,Customers!$A:$F,3,FALSE)</f>
        <v>41</v>
      </c>
      <c r="Q427" t="str">
        <f>VLOOKUP(E427,Sales_Reps!$A:$E,3,FALSE)</f>
        <v>West</v>
      </c>
      <c r="R427" t="str">
        <f>VLOOKUP(E427,Sales_Reps!$A:$E,2,FALSE)</f>
        <v>Ashok Reddy</v>
      </c>
      <c r="S427">
        <f t="shared" si="6"/>
        <v>0.53361344537815125</v>
      </c>
    </row>
    <row r="428" spans="1:19" x14ac:dyDescent="0.3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  <c r="L428" t="str">
        <f>VLOOKUP(D428,Products!$A:$F,3,FALSE)</f>
        <v>Sports</v>
      </c>
      <c r="M428" t="b">
        <f>VLOOKUP(D428,Products!$A:$F,6,FALSE)</f>
        <v>1</v>
      </c>
      <c r="N428">
        <f>VLOOKUP(D428,Products!$A:$F,4,FALSE)</f>
        <v>2827</v>
      </c>
      <c r="O428" t="str">
        <f>VLOOKUP(C428,Customers!$A:$F,5,FALSE)</f>
        <v>Corporate</v>
      </c>
      <c r="P428">
        <f>VLOOKUP(C428,Customers!$A:$F,3,FALSE)</f>
        <v>57</v>
      </c>
      <c r="Q428" t="str">
        <f>VLOOKUP(E428,Sales_Reps!$A:$E,3,FALSE)</f>
        <v>North</v>
      </c>
      <c r="R428" t="str">
        <f>VLOOKUP(E428,Sales_Reps!$A:$E,2,FALSE)</f>
        <v>Vikram Patel</v>
      </c>
      <c r="S428">
        <f t="shared" si="6"/>
        <v>0.5926512968299712</v>
      </c>
    </row>
    <row r="429" spans="1:19" x14ac:dyDescent="0.3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  <c r="L429" t="str">
        <f>VLOOKUP(D429,Products!$A:$F,3,FALSE)</f>
        <v>Beauty</v>
      </c>
      <c r="M429" t="b">
        <f>VLOOKUP(D429,Products!$A:$F,6,FALSE)</f>
        <v>1</v>
      </c>
      <c r="N429">
        <f>VLOOKUP(D429,Products!$A:$F,4,FALSE)</f>
        <v>1222</v>
      </c>
      <c r="O429" t="str">
        <f>VLOOKUP(C429,Customers!$A:$F,5,FALSE)</f>
        <v>SMB</v>
      </c>
      <c r="P429">
        <f>VLOOKUP(C429,Customers!$A:$F,3,FALSE)</f>
        <v>60</v>
      </c>
      <c r="Q429" t="str">
        <f>VLOOKUP(E429,Sales_Reps!$A:$E,3,FALSE)</f>
        <v>South</v>
      </c>
      <c r="R429" t="str">
        <f>VLOOKUP(E429,Sales_Reps!$A:$E,2,FALSE)</f>
        <v>Ritu Menon</v>
      </c>
      <c r="S429">
        <f t="shared" si="6"/>
        <v>0.2593939393939394</v>
      </c>
    </row>
    <row r="430" spans="1:19" x14ac:dyDescent="0.3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  <c r="L430" t="str">
        <f>VLOOKUP(D430,Products!$A:$F,3,FALSE)</f>
        <v>Electronics</v>
      </c>
      <c r="M430" t="b">
        <f>VLOOKUP(D430,Products!$A:$F,6,FALSE)</f>
        <v>1</v>
      </c>
      <c r="N430">
        <f>VLOOKUP(D430,Products!$A:$F,4,FALSE)</f>
        <v>861</v>
      </c>
      <c r="O430" t="str">
        <f>VLOOKUP(C430,Customers!$A:$F,5,FALSE)</f>
        <v>Corporate</v>
      </c>
      <c r="P430">
        <f>VLOOKUP(C430,Customers!$A:$F,3,FALSE)</f>
        <v>41</v>
      </c>
      <c r="Q430" t="str">
        <f>VLOOKUP(E430,Sales_Reps!$A:$E,3,FALSE)</f>
        <v>South</v>
      </c>
      <c r="R430" t="str">
        <f>VLOOKUP(E430,Sales_Reps!$A:$E,2,FALSE)</f>
        <v>Ritu Menon</v>
      </c>
      <c r="S430">
        <f t="shared" si="6"/>
        <v>0.39790209790209791</v>
      </c>
    </row>
    <row r="431" spans="1:19" x14ac:dyDescent="0.3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  <c r="L431" t="str">
        <f>VLOOKUP(D431,Products!$A:$F,3,FALSE)</f>
        <v>Grocery</v>
      </c>
      <c r="M431" t="b">
        <f>VLOOKUP(D431,Products!$A:$F,6,FALSE)</f>
        <v>1</v>
      </c>
      <c r="N431">
        <f>VLOOKUP(D431,Products!$A:$F,4,FALSE)</f>
        <v>2911</v>
      </c>
      <c r="O431" t="str">
        <f>VLOOKUP(C431,Customers!$A:$F,5,FALSE)</f>
        <v>Corporate</v>
      </c>
      <c r="P431">
        <f>VLOOKUP(C431,Customers!$A:$F,3,FALSE)</f>
        <v>31</v>
      </c>
      <c r="Q431" t="str">
        <f>VLOOKUP(E431,Sales_Reps!$A:$E,3,FALSE)</f>
        <v>South</v>
      </c>
      <c r="R431" t="str">
        <f>VLOOKUP(E431,Sales_Reps!$A:$E,2,FALSE)</f>
        <v>Divya Rao</v>
      </c>
      <c r="S431">
        <f t="shared" si="6"/>
        <v>0.28300492610837441</v>
      </c>
    </row>
    <row r="432" spans="1:19" x14ac:dyDescent="0.3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  <c r="L432" t="str">
        <f>VLOOKUP(D432,Products!$A:$F,3,FALSE)</f>
        <v>Home</v>
      </c>
      <c r="M432" t="b">
        <f>VLOOKUP(D432,Products!$A:$F,6,FALSE)</f>
        <v>1</v>
      </c>
      <c r="N432">
        <f>VLOOKUP(D432,Products!$A:$F,4,FALSE)</f>
        <v>288</v>
      </c>
      <c r="O432" t="str">
        <f>VLOOKUP(C432,Customers!$A:$F,5,FALSE)</f>
        <v>Retail</v>
      </c>
      <c r="P432">
        <f>VLOOKUP(C432,Customers!$A:$F,3,FALSE)</f>
        <v>52</v>
      </c>
      <c r="Q432" t="str">
        <f>VLOOKUP(E432,Sales_Reps!$A:$E,3,FALSE)</f>
        <v>North</v>
      </c>
      <c r="R432" t="str">
        <f>VLOOKUP(E432,Sales_Reps!$A:$E,2,FALSE)</f>
        <v>Vikram Patel</v>
      </c>
      <c r="S432">
        <f t="shared" si="6"/>
        <v>0.22162162162162163</v>
      </c>
    </row>
    <row r="433" spans="1:19" x14ac:dyDescent="0.3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  <c r="L433" t="str">
        <f>VLOOKUP(D433,Products!$A:$F,3,FALSE)</f>
        <v>Beauty</v>
      </c>
      <c r="M433" t="b">
        <f>VLOOKUP(D433,Products!$A:$F,6,FALSE)</f>
        <v>0</v>
      </c>
      <c r="N433">
        <f>VLOOKUP(D433,Products!$A:$F,4,FALSE)</f>
        <v>647</v>
      </c>
      <c r="O433" t="str">
        <f>VLOOKUP(C433,Customers!$A:$F,5,FALSE)</f>
        <v>Corporate</v>
      </c>
      <c r="P433">
        <f>VLOOKUP(C433,Customers!$A:$F,3,FALSE)</f>
        <v>52</v>
      </c>
      <c r="Q433" t="str">
        <f>VLOOKUP(E433,Sales_Reps!$A:$E,3,FALSE)</f>
        <v>South</v>
      </c>
      <c r="R433" t="str">
        <f>VLOOKUP(E433,Sales_Reps!$A:$E,2,FALSE)</f>
        <v>Divya Rao</v>
      </c>
      <c r="S433">
        <f t="shared" si="6"/>
        <v>0.57987012987012987</v>
      </c>
    </row>
    <row r="434" spans="1:19" x14ac:dyDescent="0.3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  <c r="L434" t="str">
        <f>VLOOKUP(D434,Products!$A:$F,3,FALSE)</f>
        <v>Electronics</v>
      </c>
      <c r="M434" t="b">
        <f>VLOOKUP(D434,Products!$A:$F,6,FALSE)</f>
        <v>1</v>
      </c>
      <c r="N434">
        <f>VLOOKUP(D434,Products!$A:$F,4,FALSE)</f>
        <v>1052</v>
      </c>
      <c r="O434" t="str">
        <f>VLOOKUP(C434,Customers!$A:$F,5,FALSE)</f>
        <v>SMB</v>
      </c>
      <c r="P434">
        <f>VLOOKUP(C434,Customers!$A:$F,3,FALSE)</f>
        <v>24</v>
      </c>
      <c r="Q434" t="str">
        <f>VLOOKUP(E434,Sales_Reps!$A:$E,3,FALSE)</f>
        <v>West</v>
      </c>
      <c r="R434" t="str">
        <f>VLOOKUP(E434,Sales_Reps!$A:$E,2,FALSE)</f>
        <v>Ashok Reddy</v>
      </c>
      <c r="S434">
        <f t="shared" si="6"/>
        <v>0.5953846153846154</v>
      </c>
    </row>
    <row r="435" spans="1:19" x14ac:dyDescent="0.3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  <c r="L435" t="str">
        <f>VLOOKUP(D435,Products!$A:$F,3,FALSE)</f>
        <v>Apparel</v>
      </c>
      <c r="M435" t="b">
        <f>VLOOKUP(D435,Products!$A:$F,6,FALSE)</f>
        <v>0</v>
      </c>
      <c r="N435">
        <f>VLOOKUP(D435,Products!$A:$F,4,FALSE)</f>
        <v>1075</v>
      </c>
      <c r="O435" t="str">
        <f>VLOOKUP(C435,Customers!$A:$F,5,FALSE)</f>
        <v>SMB</v>
      </c>
      <c r="P435">
        <f>VLOOKUP(C435,Customers!$A:$F,3,FALSE)</f>
        <v>26</v>
      </c>
      <c r="Q435" t="str">
        <f>VLOOKUP(E435,Sales_Reps!$A:$E,3,FALSE)</f>
        <v>South</v>
      </c>
      <c r="R435" t="str">
        <f>VLOOKUP(E435,Sales_Reps!$A:$E,2,FALSE)</f>
        <v>Deepak Shah</v>
      </c>
      <c r="S435">
        <f t="shared" si="6"/>
        <v>0.57171314741035861</v>
      </c>
    </row>
    <row r="436" spans="1:19" x14ac:dyDescent="0.3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  <c r="L436" t="str">
        <f>VLOOKUP(D436,Products!$A:$F,3,FALSE)</f>
        <v>Electronics</v>
      </c>
      <c r="M436" t="b">
        <f>VLOOKUP(D436,Products!$A:$F,6,FALSE)</f>
        <v>1</v>
      </c>
      <c r="N436">
        <f>VLOOKUP(D436,Products!$A:$F,4,FALSE)</f>
        <v>2405</v>
      </c>
      <c r="O436" t="str">
        <f>VLOOKUP(C436,Customers!$A:$F,5,FALSE)</f>
        <v>Corporate</v>
      </c>
      <c r="P436">
        <f>VLOOKUP(C436,Customers!$A:$F,3,FALSE)</f>
        <v>31</v>
      </c>
      <c r="Q436" t="str">
        <f>VLOOKUP(E436,Sales_Reps!$A:$E,3,FALSE)</f>
        <v>North</v>
      </c>
      <c r="R436" t="str">
        <f>VLOOKUP(E436,Sales_Reps!$A:$E,2,FALSE)</f>
        <v>Amit Singh</v>
      </c>
      <c r="S436">
        <f t="shared" si="6"/>
        <v>0.54878048780487809</v>
      </c>
    </row>
    <row r="437" spans="1:19" x14ac:dyDescent="0.3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  <c r="L437" t="str">
        <f>VLOOKUP(D437,Products!$A:$F,3,FALSE)</f>
        <v>Home</v>
      </c>
      <c r="M437" t="b">
        <f>VLOOKUP(D437,Products!$A:$F,6,FALSE)</f>
        <v>1</v>
      </c>
      <c r="N437">
        <f>VLOOKUP(D437,Products!$A:$F,4,FALSE)</f>
        <v>2459</v>
      </c>
      <c r="O437" t="str">
        <f>VLOOKUP(C437,Customers!$A:$F,5,FALSE)</f>
        <v>Retail</v>
      </c>
      <c r="P437">
        <f>VLOOKUP(C437,Customers!$A:$F,3,FALSE)</f>
        <v>55</v>
      </c>
      <c r="Q437" t="str">
        <f>VLOOKUP(E437,Sales_Reps!$A:$E,3,FALSE)</f>
        <v>South</v>
      </c>
      <c r="R437" t="str">
        <f>VLOOKUP(E437,Sales_Reps!$A:$E,2,FALSE)</f>
        <v>Ritu Menon</v>
      </c>
      <c r="S437">
        <f t="shared" si="6"/>
        <v>0.51594488188976373</v>
      </c>
    </row>
    <row r="438" spans="1:19" x14ac:dyDescent="0.3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  <c r="L438" t="str">
        <f>VLOOKUP(D438,Products!$A:$F,3,FALSE)</f>
        <v>Grocery</v>
      </c>
      <c r="M438" t="b">
        <f>VLOOKUP(D438,Products!$A:$F,6,FALSE)</f>
        <v>1</v>
      </c>
      <c r="N438">
        <f>VLOOKUP(D438,Products!$A:$F,4,FALSE)</f>
        <v>2027</v>
      </c>
      <c r="O438" t="str">
        <f>VLOOKUP(C438,Customers!$A:$F,5,FALSE)</f>
        <v>SMB</v>
      </c>
      <c r="P438">
        <f>VLOOKUP(C438,Customers!$A:$F,3,FALSE)</f>
        <v>42</v>
      </c>
      <c r="Q438" t="str">
        <f>VLOOKUP(E438,Sales_Reps!$A:$E,3,FALSE)</f>
        <v>West</v>
      </c>
      <c r="R438" t="str">
        <f>VLOOKUP(E438,Sales_Reps!$A:$E,2,FALSE)</f>
        <v>Ashok Reddy</v>
      </c>
      <c r="S438">
        <f t="shared" si="6"/>
        <v>0.50196560196560192</v>
      </c>
    </row>
    <row r="439" spans="1:19" x14ac:dyDescent="0.3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  <c r="L439" t="str">
        <f>VLOOKUP(D439,Products!$A:$F,3,FALSE)</f>
        <v>Apparel</v>
      </c>
      <c r="M439" t="b">
        <f>VLOOKUP(D439,Products!$A:$F,6,FALSE)</f>
        <v>1</v>
      </c>
      <c r="N439">
        <f>VLOOKUP(D439,Products!$A:$F,4,FALSE)</f>
        <v>396</v>
      </c>
      <c r="O439" t="str">
        <f>VLOOKUP(C439,Customers!$A:$F,5,FALSE)</f>
        <v>Corporate</v>
      </c>
      <c r="P439">
        <f>VLOOKUP(C439,Customers!$A:$F,3,FALSE)</f>
        <v>56</v>
      </c>
      <c r="Q439" t="str">
        <f>VLOOKUP(E439,Sales_Reps!$A:$E,3,FALSE)</f>
        <v>South</v>
      </c>
      <c r="R439" t="str">
        <f>VLOOKUP(E439,Sales_Reps!$A:$E,2,FALSE)</f>
        <v>Sanjay Kapoor</v>
      </c>
      <c r="S439">
        <f t="shared" si="6"/>
        <v>0.36129032258064514</v>
      </c>
    </row>
    <row r="440" spans="1:19" x14ac:dyDescent="0.3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  <c r="L440" t="str">
        <f>VLOOKUP(D440,Products!$A:$F,3,FALSE)</f>
        <v>Electronics</v>
      </c>
      <c r="M440" t="b">
        <f>VLOOKUP(D440,Products!$A:$F,6,FALSE)</f>
        <v>1</v>
      </c>
      <c r="N440">
        <f>VLOOKUP(D440,Products!$A:$F,4,FALSE)</f>
        <v>1149</v>
      </c>
      <c r="O440" t="str">
        <f>VLOOKUP(C440,Customers!$A:$F,5,FALSE)</f>
        <v>SMB</v>
      </c>
      <c r="P440">
        <f>VLOOKUP(C440,Customers!$A:$F,3,FALSE)</f>
        <v>59</v>
      </c>
      <c r="Q440" t="str">
        <f>VLOOKUP(E440,Sales_Reps!$A:$E,3,FALSE)</f>
        <v>East</v>
      </c>
      <c r="R440" t="str">
        <f>VLOOKUP(E440,Sales_Reps!$A:$E,2,FALSE)</f>
        <v>Naveen Singh</v>
      </c>
      <c r="S440">
        <f t="shared" si="6"/>
        <v>0.56477272727272732</v>
      </c>
    </row>
    <row r="441" spans="1:19" x14ac:dyDescent="0.3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  <c r="L441" t="str">
        <f>VLOOKUP(D441,Products!$A:$F,3,FALSE)</f>
        <v>Grocery</v>
      </c>
      <c r="M441" t="b">
        <f>VLOOKUP(D441,Products!$A:$F,6,FALSE)</f>
        <v>1</v>
      </c>
      <c r="N441">
        <f>VLOOKUP(D441,Products!$A:$F,4,FALSE)</f>
        <v>2027</v>
      </c>
      <c r="O441" t="str">
        <f>VLOOKUP(C441,Customers!$A:$F,5,FALSE)</f>
        <v>SMB</v>
      </c>
      <c r="P441">
        <f>VLOOKUP(C441,Customers!$A:$F,3,FALSE)</f>
        <v>43</v>
      </c>
      <c r="Q441" t="str">
        <f>VLOOKUP(E441,Sales_Reps!$A:$E,3,FALSE)</f>
        <v>West</v>
      </c>
      <c r="R441" t="str">
        <f>VLOOKUP(E441,Sales_Reps!$A:$E,2,FALSE)</f>
        <v>Kiran Bhatt</v>
      </c>
      <c r="S441">
        <f t="shared" si="6"/>
        <v>0.50196560196560192</v>
      </c>
    </row>
    <row r="442" spans="1:19" x14ac:dyDescent="0.3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  <c r="L442" t="str">
        <f>VLOOKUP(D442,Products!$A:$F,3,FALSE)</f>
        <v>Sports</v>
      </c>
      <c r="M442" t="b">
        <f>VLOOKUP(D442,Products!$A:$F,6,FALSE)</f>
        <v>1</v>
      </c>
      <c r="N442">
        <f>VLOOKUP(D442,Products!$A:$F,4,FALSE)</f>
        <v>516</v>
      </c>
      <c r="O442" t="str">
        <f>VLOOKUP(C442,Customers!$A:$F,5,FALSE)</f>
        <v>Corporate</v>
      </c>
      <c r="P442">
        <f>VLOOKUP(C442,Customers!$A:$F,3,FALSE)</f>
        <v>41</v>
      </c>
      <c r="Q442" t="str">
        <f>VLOOKUP(E442,Sales_Reps!$A:$E,3,FALSE)</f>
        <v>North</v>
      </c>
      <c r="R442" t="str">
        <f>VLOOKUP(E442,Sales_Reps!$A:$E,2,FALSE)</f>
        <v>Suresh Menon</v>
      </c>
      <c r="S442">
        <f t="shared" si="6"/>
        <v>0.4891089108910891</v>
      </c>
    </row>
    <row r="443" spans="1:19" x14ac:dyDescent="0.3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  <c r="L443" t="str">
        <f>VLOOKUP(D443,Products!$A:$F,3,FALSE)</f>
        <v>Home</v>
      </c>
      <c r="M443" t="b">
        <f>VLOOKUP(D443,Products!$A:$F,6,FALSE)</f>
        <v>1</v>
      </c>
      <c r="N443">
        <f>VLOOKUP(D443,Products!$A:$F,4,FALSE)</f>
        <v>1556</v>
      </c>
      <c r="O443" t="str">
        <f>VLOOKUP(C443,Customers!$A:$F,5,FALSE)</f>
        <v>Corporate</v>
      </c>
      <c r="P443">
        <f>VLOOKUP(C443,Customers!$A:$F,3,FALSE)</f>
        <v>29</v>
      </c>
      <c r="Q443" t="str">
        <f>VLOOKUP(E443,Sales_Reps!$A:$E,3,FALSE)</f>
        <v>North</v>
      </c>
      <c r="R443" t="str">
        <f>VLOOKUP(E443,Sales_Reps!$A:$E,2,FALSE)</f>
        <v>Vikram Patel</v>
      </c>
      <c r="S443">
        <f t="shared" si="6"/>
        <v>0.52123076923076928</v>
      </c>
    </row>
    <row r="444" spans="1:19" x14ac:dyDescent="0.3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  <c r="L444" t="str">
        <f>VLOOKUP(D444,Products!$A:$F,3,FALSE)</f>
        <v>Electronics</v>
      </c>
      <c r="M444" t="b">
        <f>VLOOKUP(D444,Products!$A:$F,6,FALSE)</f>
        <v>1</v>
      </c>
      <c r="N444">
        <f>VLOOKUP(D444,Products!$A:$F,4,FALSE)</f>
        <v>861</v>
      </c>
      <c r="O444" t="str">
        <f>VLOOKUP(C444,Customers!$A:$F,5,FALSE)</f>
        <v>Corporate</v>
      </c>
      <c r="P444">
        <f>VLOOKUP(C444,Customers!$A:$F,3,FALSE)</f>
        <v>48</v>
      </c>
      <c r="Q444" t="str">
        <f>VLOOKUP(E444,Sales_Reps!$A:$E,3,FALSE)</f>
        <v>South</v>
      </c>
      <c r="R444" t="str">
        <f>VLOOKUP(E444,Sales_Reps!$A:$E,2,FALSE)</f>
        <v>Manoj Patel</v>
      </c>
      <c r="S444">
        <f t="shared" si="6"/>
        <v>0.39790209790209791</v>
      </c>
    </row>
    <row r="445" spans="1:19" x14ac:dyDescent="0.3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  <c r="L445" t="str">
        <f>VLOOKUP(D445,Products!$A:$F,3,FALSE)</f>
        <v>Beauty</v>
      </c>
      <c r="M445" t="b">
        <f>VLOOKUP(D445,Products!$A:$F,6,FALSE)</f>
        <v>1</v>
      </c>
      <c r="N445">
        <f>VLOOKUP(D445,Products!$A:$F,4,FALSE)</f>
        <v>1626</v>
      </c>
      <c r="O445" t="str">
        <f>VLOOKUP(C445,Customers!$A:$F,5,FALSE)</f>
        <v>SMB</v>
      </c>
      <c r="P445">
        <f>VLOOKUP(C445,Customers!$A:$F,3,FALSE)</f>
        <v>44</v>
      </c>
      <c r="Q445" t="str">
        <f>VLOOKUP(E445,Sales_Reps!$A:$E,3,FALSE)</f>
        <v>East</v>
      </c>
      <c r="R445" t="str">
        <f>VLOOKUP(E445,Sales_Reps!$A:$E,2,FALSE)</f>
        <v>Shalini Patel</v>
      </c>
      <c r="S445">
        <f t="shared" si="6"/>
        <v>0.46158940397350995</v>
      </c>
    </row>
    <row r="446" spans="1:19" x14ac:dyDescent="0.3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  <c r="L446" t="str">
        <f>VLOOKUP(D446,Products!$A:$F,3,FALSE)</f>
        <v>Electronics</v>
      </c>
      <c r="M446" t="b">
        <f>VLOOKUP(D446,Products!$A:$F,6,FALSE)</f>
        <v>0</v>
      </c>
      <c r="N446">
        <f>VLOOKUP(D446,Products!$A:$F,4,FALSE)</f>
        <v>1259</v>
      </c>
      <c r="O446" t="e">
        <f>VLOOKUP(C446,Customers!$A:$F,5,FALSE)</f>
        <v>#N/A</v>
      </c>
      <c r="P446" t="e">
        <f>VLOOKUP(C446,Customers!$A:$F,3,FALSE)</f>
        <v>#N/A</v>
      </c>
      <c r="Q446" t="str">
        <f>VLOOKUP(E446,Sales_Reps!$A:$E,3,FALSE)</f>
        <v>North</v>
      </c>
      <c r="R446" t="str">
        <f>VLOOKUP(E446,Sales_Reps!$A:$E,2,FALSE)</f>
        <v>Sunita Malhotra</v>
      </c>
      <c r="S446">
        <f t="shared" si="6"/>
        <v>0.52669172932330832</v>
      </c>
    </row>
    <row r="447" spans="1:19" x14ac:dyDescent="0.3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  <c r="L447" t="str">
        <f>VLOOKUP(D447,Products!$A:$F,3,FALSE)</f>
        <v>Electronics</v>
      </c>
      <c r="M447" t="b">
        <f>VLOOKUP(D447,Products!$A:$F,6,FALSE)</f>
        <v>1</v>
      </c>
      <c r="N447">
        <f>VLOOKUP(D447,Products!$A:$F,4,FALSE)</f>
        <v>1665</v>
      </c>
      <c r="O447" t="str">
        <f>VLOOKUP(C447,Customers!$A:$F,5,FALSE)</f>
        <v>Retail</v>
      </c>
      <c r="P447">
        <f>VLOOKUP(C447,Customers!$A:$F,3,FALSE)</f>
        <v>31</v>
      </c>
      <c r="Q447" t="str">
        <f>VLOOKUP(E447,Sales_Reps!$A:$E,3,FALSE)</f>
        <v>East</v>
      </c>
      <c r="R447" t="str">
        <f>VLOOKUP(E447,Sales_Reps!$A:$E,2,FALSE)</f>
        <v>Prakash Shah</v>
      </c>
      <c r="S447">
        <f t="shared" si="6"/>
        <v>0.53361344537815125</v>
      </c>
    </row>
    <row r="448" spans="1:19" x14ac:dyDescent="0.3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  <c r="L448" t="str">
        <f>VLOOKUP(D448,Products!$A:$F,3,FALSE)</f>
        <v>Beauty</v>
      </c>
      <c r="M448" t="b">
        <f>VLOOKUP(D448,Products!$A:$F,6,FALSE)</f>
        <v>1</v>
      </c>
      <c r="N448">
        <f>VLOOKUP(D448,Products!$A:$F,4,FALSE)</f>
        <v>1728</v>
      </c>
      <c r="O448" t="str">
        <f>VLOOKUP(C448,Customers!$A:$F,5,FALSE)</f>
        <v>Corporate</v>
      </c>
      <c r="P448">
        <f>VLOOKUP(C448,Customers!$A:$F,3,FALSE)</f>
        <v>47</v>
      </c>
      <c r="Q448" t="str">
        <f>VLOOKUP(E448,Sales_Reps!$A:$E,3,FALSE)</f>
        <v>South</v>
      </c>
      <c r="R448" t="str">
        <f>VLOOKUP(E448,Sales_Reps!$A:$E,2,FALSE)</f>
        <v>Divya Rao</v>
      </c>
      <c r="S448">
        <f t="shared" si="6"/>
        <v>0.48417910447761192</v>
      </c>
    </row>
    <row r="449" spans="1:19" x14ac:dyDescent="0.3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  <c r="L449" t="str">
        <f>VLOOKUP(D449,Products!$A:$F,3,FALSE)</f>
        <v>Apparel</v>
      </c>
      <c r="M449" t="b">
        <f>VLOOKUP(D449,Products!$A:$F,6,FALSE)</f>
        <v>1</v>
      </c>
      <c r="N449">
        <f>VLOOKUP(D449,Products!$A:$F,4,FALSE)</f>
        <v>1173</v>
      </c>
      <c r="O449" t="str">
        <f>VLOOKUP(C449,Customers!$A:$F,5,FALSE)</f>
        <v>Corporate</v>
      </c>
      <c r="P449">
        <f>VLOOKUP(C449,Customers!$A:$F,3,FALSE)</f>
        <v>46</v>
      </c>
      <c r="Q449" t="str">
        <f>VLOOKUP(E449,Sales_Reps!$A:$E,3,FALSE)</f>
        <v>East</v>
      </c>
      <c r="R449" t="str">
        <f>VLOOKUP(E449,Sales_Reps!$A:$E,2,FALSE)</f>
        <v>Gaurav Desai</v>
      </c>
      <c r="S449">
        <f t="shared" si="6"/>
        <v>0.52701612903225803</v>
      </c>
    </row>
    <row r="450" spans="1:19" x14ac:dyDescent="0.3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  <c r="L450" t="str">
        <f>VLOOKUP(D450,Products!$A:$F,3,FALSE)</f>
        <v>Sports</v>
      </c>
      <c r="M450" t="b">
        <f>VLOOKUP(D450,Products!$A:$F,6,FALSE)</f>
        <v>1</v>
      </c>
      <c r="N450">
        <f>VLOOKUP(D450,Products!$A:$F,4,FALSE)</f>
        <v>2265</v>
      </c>
      <c r="O450" t="str">
        <f>VLOOKUP(C450,Customers!$A:$F,5,FALSE)</f>
        <v>SMB</v>
      </c>
      <c r="P450">
        <f>VLOOKUP(C450,Customers!$A:$F,3,FALSE)</f>
        <v>38</v>
      </c>
      <c r="Q450" t="str">
        <f>VLOOKUP(E450,Sales_Reps!$A:$E,3,FALSE)</f>
        <v>South</v>
      </c>
      <c r="R450" t="str">
        <f>VLOOKUP(E450,Sales_Reps!$A:$E,2,FALSE)</f>
        <v>Deepak Shah</v>
      </c>
      <c r="S450">
        <f t="shared" si="6"/>
        <v>0.58133086876155271</v>
      </c>
    </row>
    <row r="451" spans="1:19" x14ac:dyDescent="0.3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  <c r="L451" t="str">
        <f>VLOOKUP(D451,Products!$A:$F,3,FALSE)</f>
        <v>Home</v>
      </c>
      <c r="M451" t="b">
        <f>VLOOKUP(D451,Products!$A:$F,6,FALSE)</f>
        <v>1</v>
      </c>
      <c r="N451">
        <f>VLOOKUP(D451,Products!$A:$F,4,FALSE)</f>
        <v>329</v>
      </c>
      <c r="O451" t="str">
        <f>VLOOKUP(C451,Customers!$A:$F,5,FALSE)</f>
        <v>Retail</v>
      </c>
      <c r="P451">
        <f>VLOOKUP(C451,Customers!$A:$F,3,FALSE)</f>
        <v>47</v>
      </c>
      <c r="Q451" t="str">
        <f>VLOOKUP(E451,Sales_Reps!$A:$E,3,FALSE)</f>
        <v>East</v>
      </c>
      <c r="R451" t="str">
        <f>VLOOKUP(E451,Sales_Reps!$A:$E,2,FALSE)</f>
        <v>Vinod Kumar</v>
      </c>
      <c r="S451">
        <f t="shared" ref="S451:S514" si="7">IFERROR((G451-N451)/G451,"")</f>
        <v>0.50151515151515147</v>
      </c>
    </row>
    <row r="452" spans="1:19" x14ac:dyDescent="0.3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  <c r="L452" t="str">
        <f>VLOOKUP(D452,Products!$A:$F,3,FALSE)</f>
        <v>Sports</v>
      </c>
      <c r="M452" t="b">
        <f>VLOOKUP(D452,Products!$A:$F,6,FALSE)</f>
        <v>1</v>
      </c>
      <c r="N452">
        <f>VLOOKUP(D452,Products!$A:$F,4,FALSE)</f>
        <v>516</v>
      </c>
      <c r="O452" t="str">
        <f>VLOOKUP(C452,Customers!$A:$F,5,FALSE)</f>
        <v>Corporate</v>
      </c>
      <c r="P452">
        <f>VLOOKUP(C452,Customers!$A:$F,3,FALSE)</f>
        <v>62</v>
      </c>
      <c r="Q452" t="str">
        <f>VLOOKUP(E452,Sales_Reps!$A:$E,3,FALSE)</f>
        <v>North</v>
      </c>
      <c r="R452" t="str">
        <f>VLOOKUP(E452,Sales_Reps!$A:$E,2,FALSE)</f>
        <v>Suresh Menon</v>
      </c>
      <c r="S452">
        <f t="shared" si="7"/>
        <v>0.4891089108910891</v>
      </c>
    </row>
    <row r="453" spans="1:19" x14ac:dyDescent="0.3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  <c r="L453" t="str">
        <f>VLOOKUP(D453,Products!$A:$F,3,FALSE)</f>
        <v>Beauty</v>
      </c>
      <c r="M453" t="b">
        <f>VLOOKUP(D453,Products!$A:$F,6,FALSE)</f>
        <v>1</v>
      </c>
      <c r="N453">
        <f>VLOOKUP(D453,Products!$A:$F,4,FALSE)</f>
        <v>1219</v>
      </c>
      <c r="O453" t="str">
        <f>VLOOKUP(C453,Customers!$A:$F,5,FALSE)</f>
        <v>Retail</v>
      </c>
      <c r="P453">
        <f>VLOOKUP(C453,Customers!$A:$F,3,FALSE)</f>
        <v>57</v>
      </c>
      <c r="Q453" t="str">
        <f>VLOOKUP(E453,Sales_Reps!$A:$E,3,FALSE)</f>
        <v>North</v>
      </c>
      <c r="R453" t="str">
        <f>VLOOKUP(E453,Sales_Reps!$A:$E,2,FALSE)</f>
        <v>Rajesh Malhotra</v>
      </c>
      <c r="S453">
        <f t="shared" si="7"/>
        <v>0.46768558951965067</v>
      </c>
    </row>
    <row r="454" spans="1:19" x14ac:dyDescent="0.3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  <c r="L454" t="str">
        <f>VLOOKUP(D454,Products!$A:$F,3,FALSE)</f>
        <v>Beauty</v>
      </c>
      <c r="M454" t="b">
        <f>VLOOKUP(D454,Products!$A:$F,6,FALSE)</f>
        <v>1</v>
      </c>
      <c r="N454">
        <f>VLOOKUP(D454,Products!$A:$F,4,FALSE)</f>
        <v>2420</v>
      </c>
      <c r="O454" t="str">
        <f>VLOOKUP(C454,Customers!$A:$F,5,FALSE)</f>
        <v>Retail</v>
      </c>
      <c r="P454">
        <f>VLOOKUP(C454,Customers!$A:$F,3,FALSE)</f>
        <v>24</v>
      </c>
      <c r="Q454" t="str">
        <f>VLOOKUP(E454,Sales_Reps!$A:$E,3,FALSE)</f>
        <v>North</v>
      </c>
      <c r="R454" t="str">
        <f>VLOOKUP(E454,Sales_Reps!$A:$E,2,FALSE)</f>
        <v>Rajesh Malhotra</v>
      </c>
      <c r="S454">
        <f t="shared" si="7"/>
        <v>0.29855072463768118</v>
      </c>
    </row>
    <row r="455" spans="1:19" x14ac:dyDescent="0.3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  <c r="L455" t="str">
        <f>VLOOKUP(D455,Products!$A:$F,3,FALSE)</f>
        <v>Apparel</v>
      </c>
      <c r="M455" t="b">
        <f>VLOOKUP(D455,Products!$A:$F,6,FALSE)</f>
        <v>1</v>
      </c>
      <c r="N455">
        <f>VLOOKUP(D455,Products!$A:$F,4,FALSE)</f>
        <v>2611</v>
      </c>
      <c r="O455" t="str">
        <f>VLOOKUP(C455,Customers!$A:$F,5,FALSE)</f>
        <v>Retail</v>
      </c>
      <c r="P455">
        <f>VLOOKUP(C455,Customers!$A:$F,3,FALSE)</f>
        <v>38</v>
      </c>
      <c r="Q455" t="str">
        <f>VLOOKUP(E455,Sales_Reps!$A:$E,3,FALSE)</f>
        <v>North</v>
      </c>
      <c r="R455" t="str">
        <f>VLOOKUP(E455,Sales_Reps!$A:$E,2,FALSE)</f>
        <v>Amit Singh</v>
      </c>
      <c r="S455">
        <f t="shared" si="7"/>
        <v>0.28269230769230769</v>
      </c>
    </row>
    <row r="456" spans="1:19" x14ac:dyDescent="0.3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  <c r="L456" t="str">
        <f>VLOOKUP(D456,Products!$A:$F,3,FALSE)</f>
        <v>Grocery</v>
      </c>
      <c r="M456" t="b">
        <f>VLOOKUP(D456,Products!$A:$F,6,FALSE)</f>
        <v>1</v>
      </c>
      <c r="N456">
        <f>VLOOKUP(D456,Products!$A:$F,4,FALSE)</f>
        <v>1182</v>
      </c>
      <c r="O456" t="str">
        <f>VLOOKUP(C456,Customers!$A:$F,5,FALSE)</f>
        <v>Corporate</v>
      </c>
      <c r="P456">
        <f>VLOOKUP(C456,Customers!$A:$F,3,FALSE)</f>
        <v>62</v>
      </c>
      <c r="Q456" t="str">
        <f>VLOOKUP(E456,Sales_Reps!$A:$E,3,FALSE)</f>
        <v>South</v>
      </c>
      <c r="R456" t="str">
        <f>VLOOKUP(E456,Sales_Reps!$A:$E,2,FALSE)</f>
        <v>Deepak Shah</v>
      </c>
      <c r="S456">
        <f t="shared" si="7"/>
        <v>0.50336134453781511</v>
      </c>
    </row>
    <row r="457" spans="1:19" x14ac:dyDescent="0.3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  <c r="L457" t="str">
        <f>VLOOKUP(D457,Products!$A:$F,3,FALSE)</f>
        <v>Sports</v>
      </c>
      <c r="M457" t="b">
        <f>VLOOKUP(D457,Products!$A:$F,6,FALSE)</f>
        <v>1</v>
      </c>
      <c r="N457">
        <f>VLOOKUP(D457,Products!$A:$F,4,FALSE)</f>
        <v>2265</v>
      </c>
      <c r="O457" t="str">
        <f>VLOOKUP(C457,Customers!$A:$F,5,FALSE)</f>
        <v>Retail</v>
      </c>
      <c r="P457">
        <f>VLOOKUP(C457,Customers!$A:$F,3,FALSE)</f>
        <v>38</v>
      </c>
      <c r="Q457" t="str">
        <f>VLOOKUP(E457,Sales_Reps!$A:$E,3,FALSE)</f>
        <v>East</v>
      </c>
      <c r="R457" t="str">
        <f>VLOOKUP(E457,Sales_Reps!$A:$E,2,FALSE)</f>
        <v>Naveen Singh</v>
      </c>
      <c r="S457">
        <f t="shared" si="7"/>
        <v>0.58133086876155271</v>
      </c>
    </row>
    <row r="458" spans="1:19" x14ac:dyDescent="0.3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  <c r="L458" t="str">
        <f>VLOOKUP(D458,Products!$A:$F,3,FALSE)</f>
        <v>Beauty</v>
      </c>
      <c r="M458" t="b">
        <f>VLOOKUP(D458,Products!$A:$F,6,FALSE)</f>
        <v>1</v>
      </c>
      <c r="N458">
        <f>VLOOKUP(D458,Products!$A:$F,4,FALSE)</f>
        <v>1222</v>
      </c>
      <c r="O458" t="str">
        <f>VLOOKUP(C458,Customers!$A:$F,5,FALSE)</f>
        <v>Corporate</v>
      </c>
      <c r="P458">
        <f>VLOOKUP(C458,Customers!$A:$F,3,FALSE)</f>
        <v>62</v>
      </c>
      <c r="Q458" t="str">
        <f>VLOOKUP(E458,Sales_Reps!$A:$E,3,FALSE)</f>
        <v>East</v>
      </c>
      <c r="R458" t="str">
        <f>VLOOKUP(E458,Sales_Reps!$A:$E,2,FALSE)</f>
        <v>Gaurav Desai</v>
      </c>
      <c r="S458">
        <f t="shared" si="7"/>
        <v>0.2593939393939394</v>
      </c>
    </row>
    <row r="459" spans="1:19" x14ac:dyDescent="0.3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  <c r="L459" t="str">
        <f>VLOOKUP(D459,Products!$A:$F,3,FALSE)</f>
        <v>Electronics</v>
      </c>
      <c r="M459" t="b">
        <f>VLOOKUP(D459,Products!$A:$F,6,FALSE)</f>
        <v>1</v>
      </c>
      <c r="N459">
        <f>VLOOKUP(D459,Products!$A:$F,4,FALSE)</f>
        <v>1052</v>
      </c>
      <c r="O459" t="str">
        <f>VLOOKUP(C459,Customers!$A:$F,5,FALSE)</f>
        <v>Retail</v>
      </c>
      <c r="P459">
        <f>VLOOKUP(C459,Customers!$A:$F,3,FALSE)</f>
        <v>22</v>
      </c>
      <c r="Q459" t="str">
        <f>VLOOKUP(E459,Sales_Reps!$A:$E,3,FALSE)</f>
        <v>East</v>
      </c>
      <c r="R459" t="str">
        <f>VLOOKUP(E459,Sales_Reps!$A:$E,2,FALSE)</f>
        <v>Nisha Menon</v>
      </c>
      <c r="S459">
        <f t="shared" si="7"/>
        <v>0.5953846153846154</v>
      </c>
    </row>
    <row r="460" spans="1:19" x14ac:dyDescent="0.3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  <c r="L460" t="str">
        <f>VLOOKUP(D460,Products!$A:$F,3,FALSE)</f>
        <v>Home</v>
      </c>
      <c r="M460" t="b">
        <f>VLOOKUP(D460,Products!$A:$F,6,FALSE)</f>
        <v>1</v>
      </c>
      <c r="N460">
        <f>VLOOKUP(D460,Products!$A:$F,4,FALSE)</f>
        <v>1850</v>
      </c>
      <c r="O460" t="str">
        <f>VLOOKUP(C460,Customers!$A:$F,5,FALSE)</f>
        <v>SMB</v>
      </c>
      <c r="P460">
        <f>VLOOKUP(C460,Customers!$A:$F,3,FALSE)</f>
        <v>28</v>
      </c>
      <c r="Q460" t="str">
        <f>VLOOKUP(E460,Sales_Reps!$A:$E,3,FALSE)</f>
        <v>North</v>
      </c>
      <c r="R460" t="str">
        <f>VLOOKUP(E460,Sales_Reps!$A:$E,2,FALSE)</f>
        <v>Sunita Malhotra</v>
      </c>
      <c r="S460">
        <f t="shared" si="7"/>
        <v>0.59869848156182215</v>
      </c>
    </row>
    <row r="461" spans="1:19" x14ac:dyDescent="0.3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  <c r="L461" t="str">
        <f>VLOOKUP(D461,Products!$A:$F,3,FALSE)</f>
        <v>Home</v>
      </c>
      <c r="M461" t="b">
        <f>VLOOKUP(D461,Products!$A:$F,6,FALSE)</f>
        <v>1</v>
      </c>
      <c r="N461">
        <f>VLOOKUP(D461,Products!$A:$F,4,FALSE)</f>
        <v>1850</v>
      </c>
      <c r="O461" t="str">
        <f>VLOOKUP(C461,Customers!$A:$F,5,FALSE)</f>
        <v>Retail</v>
      </c>
      <c r="P461">
        <f>VLOOKUP(C461,Customers!$A:$F,3,FALSE)</f>
        <v>53</v>
      </c>
      <c r="Q461" t="str">
        <f>VLOOKUP(E461,Sales_Reps!$A:$E,3,FALSE)</f>
        <v>East</v>
      </c>
      <c r="R461" t="str">
        <f>VLOOKUP(E461,Sales_Reps!$A:$E,2,FALSE)</f>
        <v>Gaurav Desai</v>
      </c>
      <c r="S461">
        <f t="shared" si="7"/>
        <v>0.59869848156182215</v>
      </c>
    </row>
    <row r="462" spans="1:19" x14ac:dyDescent="0.3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  <c r="L462" t="str">
        <f>VLOOKUP(D462,Products!$A:$F,3,FALSE)</f>
        <v>Electronics</v>
      </c>
      <c r="M462" t="b">
        <f>VLOOKUP(D462,Products!$A:$F,6,FALSE)</f>
        <v>1</v>
      </c>
      <c r="N462">
        <f>VLOOKUP(D462,Products!$A:$F,4,FALSE)</f>
        <v>128</v>
      </c>
      <c r="O462" t="str">
        <f>VLOOKUP(C462,Customers!$A:$F,5,FALSE)</f>
        <v>Corporate</v>
      </c>
      <c r="P462">
        <f>VLOOKUP(C462,Customers!$A:$F,3,FALSE)</f>
        <v>44</v>
      </c>
      <c r="Q462" t="str">
        <f>VLOOKUP(E462,Sales_Reps!$A:$E,3,FALSE)</f>
        <v>South</v>
      </c>
      <c r="R462" t="str">
        <f>VLOOKUP(E462,Sales_Reps!$A:$E,2,FALSE)</f>
        <v>Ritu Menon</v>
      </c>
      <c r="S462">
        <f t="shared" si="7"/>
        <v>0.57333333333333336</v>
      </c>
    </row>
    <row r="463" spans="1:19" x14ac:dyDescent="0.3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  <c r="L463" t="str">
        <f>VLOOKUP(D463,Products!$A:$F,3,FALSE)</f>
        <v>Apparel</v>
      </c>
      <c r="M463" t="b">
        <f>VLOOKUP(D463,Products!$A:$F,6,FALSE)</f>
        <v>1</v>
      </c>
      <c r="N463">
        <f>VLOOKUP(D463,Products!$A:$F,4,FALSE)</f>
        <v>1748</v>
      </c>
      <c r="O463" t="str">
        <f>VLOOKUP(C463,Customers!$A:$F,5,FALSE)</f>
        <v>Retail</v>
      </c>
      <c r="P463">
        <f>VLOOKUP(C463,Customers!$A:$F,3,FALSE)</f>
        <v>22</v>
      </c>
      <c r="Q463" t="str">
        <f>VLOOKUP(E463,Sales_Reps!$A:$E,3,FALSE)</f>
        <v>East</v>
      </c>
      <c r="R463" t="str">
        <f>VLOOKUP(E463,Sales_Reps!$A:$E,2,FALSE)</f>
        <v>Meera Iyer</v>
      </c>
      <c r="S463">
        <f t="shared" si="7"/>
        <v>0.49333333333333335</v>
      </c>
    </row>
    <row r="464" spans="1:19" x14ac:dyDescent="0.3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  <c r="L464" t="str">
        <f>VLOOKUP(D464,Products!$A:$F,3,FALSE)</f>
        <v>Apparel</v>
      </c>
      <c r="M464" t="b">
        <f>VLOOKUP(D464,Products!$A:$F,6,FALSE)</f>
        <v>1</v>
      </c>
      <c r="N464">
        <f>VLOOKUP(D464,Products!$A:$F,4,FALSE)</f>
        <v>1962</v>
      </c>
      <c r="O464" t="str">
        <f>VLOOKUP(C464,Customers!$A:$F,5,FALSE)</f>
        <v>Corporate</v>
      </c>
      <c r="P464">
        <f>VLOOKUP(C464,Customers!$A:$F,3,FALSE)</f>
        <v>30</v>
      </c>
      <c r="Q464" t="str">
        <f>VLOOKUP(E464,Sales_Reps!$A:$E,3,FALSE)</f>
        <v>West</v>
      </c>
      <c r="R464" t="str">
        <f>VLOOKUP(E464,Sales_Reps!$A:$E,2,FALSE)</f>
        <v>Preeti Shah</v>
      </c>
      <c r="S464">
        <f t="shared" si="7"/>
        <v>0.2786764705882353</v>
      </c>
    </row>
    <row r="465" spans="1:19" x14ac:dyDescent="0.3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  <c r="L465" t="str">
        <f>VLOOKUP(D465,Products!$A:$F,3,FALSE)</f>
        <v>Electronics</v>
      </c>
      <c r="M465" t="b">
        <f>VLOOKUP(D465,Products!$A:$F,6,FALSE)</f>
        <v>0</v>
      </c>
      <c r="N465">
        <f>VLOOKUP(D465,Products!$A:$F,4,FALSE)</f>
        <v>1259</v>
      </c>
      <c r="O465" t="str">
        <f>VLOOKUP(C465,Customers!$A:$F,5,FALSE)</f>
        <v>Retail</v>
      </c>
      <c r="P465">
        <f>VLOOKUP(C465,Customers!$A:$F,3,FALSE)</f>
        <v>31</v>
      </c>
      <c r="Q465" t="str">
        <f>VLOOKUP(E465,Sales_Reps!$A:$E,3,FALSE)</f>
        <v>East</v>
      </c>
      <c r="R465" t="str">
        <f>VLOOKUP(E465,Sales_Reps!$A:$E,2,FALSE)</f>
        <v>Naveen Singh</v>
      </c>
      <c r="S465">
        <f t="shared" si="7"/>
        <v>0.52669172932330832</v>
      </c>
    </row>
    <row r="466" spans="1:19" x14ac:dyDescent="0.3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  <c r="L466" t="str">
        <f>VLOOKUP(D466,Products!$A:$F,3,FALSE)</f>
        <v>Sports</v>
      </c>
      <c r="M466" t="b">
        <f>VLOOKUP(D466,Products!$A:$F,6,FALSE)</f>
        <v>1</v>
      </c>
      <c r="N466">
        <f>VLOOKUP(D466,Products!$A:$F,4,FALSE)</f>
        <v>2467</v>
      </c>
      <c r="O466" t="str">
        <f>VLOOKUP(C466,Customers!$A:$F,5,FALSE)</f>
        <v>Retail</v>
      </c>
      <c r="P466">
        <f>VLOOKUP(C466,Customers!$A:$F,3,FALSE)</f>
        <v>53</v>
      </c>
      <c r="Q466" t="str">
        <f>VLOOKUP(E466,Sales_Reps!$A:$E,3,FALSE)</f>
        <v>North</v>
      </c>
      <c r="R466" t="str">
        <f>VLOOKUP(E466,Sales_Reps!$A:$E,2,FALSE)</f>
        <v>Vikram Patel</v>
      </c>
      <c r="S466">
        <f t="shared" si="7"/>
        <v>0.28492753623188405</v>
      </c>
    </row>
    <row r="467" spans="1:19" x14ac:dyDescent="0.3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  <c r="L467" t="str">
        <f>VLOOKUP(D467,Products!$A:$F,3,FALSE)</f>
        <v>Sports</v>
      </c>
      <c r="M467" t="b">
        <f>VLOOKUP(D467,Products!$A:$F,6,FALSE)</f>
        <v>1</v>
      </c>
      <c r="N467">
        <f>VLOOKUP(D467,Products!$A:$F,4,FALSE)</f>
        <v>2265</v>
      </c>
      <c r="O467" t="str">
        <f>VLOOKUP(C467,Customers!$A:$F,5,FALSE)</f>
        <v>Corporate</v>
      </c>
      <c r="P467">
        <f>VLOOKUP(C467,Customers!$A:$F,3,FALSE)</f>
        <v>52</v>
      </c>
      <c r="Q467" t="str">
        <f>VLOOKUP(E467,Sales_Reps!$A:$E,3,FALSE)</f>
        <v>South</v>
      </c>
      <c r="R467" t="str">
        <f>VLOOKUP(E467,Sales_Reps!$A:$E,2,FALSE)</f>
        <v>Anjali Chopra</v>
      </c>
      <c r="S467">
        <f t="shared" si="7"/>
        <v>0.58133086876155271</v>
      </c>
    </row>
    <row r="468" spans="1:19" x14ac:dyDescent="0.3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  <c r="L468" t="str">
        <f>VLOOKUP(D468,Products!$A:$F,3,FALSE)</f>
        <v>Electronics</v>
      </c>
      <c r="M468" t="b">
        <f>VLOOKUP(D468,Products!$A:$F,6,FALSE)</f>
        <v>1</v>
      </c>
      <c r="N468">
        <f>VLOOKUP(D468,Products!$A:$F,4,FALSE)</f>
        <v>1559</v>
      </c>
      <c r="O468" t="str">
        <f>VLOOKUP(C468,Customers!$A:$F,5,FALSE)</f>
        <v>Corporate</v>
      </c>
      <c r="P468">
        <f>VLOOKUP(C468,Customers!$A:$F,3,FALSE)</f>
        <v>30</v>
      </c>
      <c r="Q468" t="str">
        <f>VLOOKUP(E468,Sales_Reps!$A:$E,3,FALSE)</f>
        <v>South</v>
      </c>
      <c r="R468" t="str">
        <f>VLOOKUP(E468,Sales_Reps!$A:$E,2,FALSE)</f>
        <v>Sanjay Kapoor</v>
      </c>
      <c r="S468">
        <f t="shared" si="7"/>
        <v>0.59715762273901807</v>
      </c>
    </row>
    <row r="469" spans="1:19" x14ac:dyDescent="0.3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  <c r="L469" t="str">
        <f>VLOOKUP(D469,Products!$A:$F,3,FALSE)</f>
        <v>Grocery</v>
      </c>
      <c r="M469" t="b">
        <f>VLOOKUP(D469,Products!$A:$F,6,FALSE)</f>
        <v>1</v>
      </c>
      <c r="N469">
        <f>VLOOKUP(D469,Products!$A:$F,4,FALSE)</f>
        <v>1203</v>
      </c>
      <c r="O469" t="str">
        <f>VLOOKUP(C469,Customers!$A:$F,5,FALSE)</f>
        <v>SMB</v>
      </c>
      <c r="P469">
        <f>VLOOKUP(C469,Customers!$A:$F,3,FALSE)</f>
        <v>60</v>
      </c>
      <c r="Q469" t="str">
        <f>VLOOKUP(E469,Sales_Reps!$A:$E,3,FALSE)</f>
        <v>North</v>
      </c>
      <c r="R469" t="str">
        <f>VLOOKUP(E469,Sales_Reps!$A:$E,2,FALSE)</f>
        <v>Vikram Patel</v>
      </c>
      <c r="S469">
        <f t="shared" si="7"/>
        <v>0.47004405286343615</v>
      </c>
    </row>
    <row r="470" spans="1:19" x14ac:dyDescent="0.3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  <c r="L470" t="str">
        <f>VLOOKUP(D470,Products!$A:$F,3,FALSE)</f>
        <v>Electronics</v>
      </c>
      <c r="M470" t="b">
        <f>VLOOKUP(D470,Products!$A:$F,6,FALSE)</f>
        <v>1</v>
      </c>
      <c r="N470">
        <f>VLOOKUP(D470,Products!$A:$F,4,FALSE)</f>
        <v>2405</v>
      </c>
      <c r="O470" t="str">
        <f>VLOOKUP(C470,Customers!$A:$F,5,FALSE)</f>
        <v>Retail</v>
      </c>
      <c r="P470">
        <f>VLOOKUP(C470,Customers!$A:$F,3,FALSE)</f>
        <v>46</v>
      </c>
      <c r="Q470" t="str">
        <f>VLOOKUP(E470,Sales_Reps!$A:$E,3,FALSE)</f>
        <v>West</v>
      </c>
      <c r="R470" t="str">
        <f>VLOOKUP(E470,Sales_Reps!$A:$E,2,FALSE)</f>
        <v>Ashok Reddy</v>
      </c>
      <c r="S470">
        <f t="shared" si="7"/>
        <v>0.54878048780487809</v>
      </c>
    </row>
    <row r="471" spans="1:19" x14ac:dyDescent="0.3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  <c r="L471" t="str">
        <f>VLOOKUP(D471,Products!$A:$F,3,FALSE)</f>
        <v>Beauty</v>
      </c>
      <c r="M471" t="b">
        <f>VLOOKUP(D471,Products!$A:$F,6,FALSE)</f>
        <v>1</v>
      </c>
      <c r="N471">
        <f>VLOOKUP(D471,Products!$A:$F,4,FALSE)</f>
        <v>1728</v>
      </c>
      <c r="O471" t="str">
        <f>VLOOKUP(C471,Customers!$A:$F,5,FALSE)</f>
        <v>Corporate</v>
      </c>
      <c r="P471">
        <f>VLOOKUP(C471,Customers!$A:$F,3,FALSE)</f>
        <v>57</v>
      </c>
      <c r="Q471" t="str">
        <f>VLOOKUP(E471,Sales_Reps!$A:$E,3,FALSE)</f>
        <v>South</v>
      </c>
      <c r="R471" t="str">
        <f>VLOOKUP(E471,Sales_Reps!$A:$E,2,FALSE)</f>
        <v>Deepak Shah</v>
      </c>
      <c r="S471">
        <f t="shared" si="7"/>
        <v>0.48417910447761192</v>
      </c>
    </row>
    <row r="472" spans="1:19" x14ac:dyDescent="0.3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  <c r="L472" t="str">
        <f>VLOOKUP(D472,Products!$A:$F,3,FALSE)</f>
        <v>Beauty</v>
      </c>
      <c r="M472" t="b">
        <f>VLOOKUP(D472,Products!$A:$F,6,FALSE)</f>
        <v>1</v>
      </c>
      <c r="N472">
        <f>VLOOKUP(D472,Products!$A:$F,4,FALSE)</f>
        <v>1626</v>
      </c>
      <c r="O472" t="str">
        <f>VLOOKUP(C472,Customers!$A:$F,5,FALSE)</f>
        <v>Retail</v>
      </c>
      <c r="P472">
        <f>VLOOKUP(C472,Customers!$A:$F,3,FALSE)</f>
        <v>32</v>
      </c>
      <c r="Q472" t="str">
        <f>VLOOKUP(E472,Sales_Reps!$A:$E,3,FALSE)</f>
        <v>North</v>
      </c>
      <c r="R472" t="str">
        <f>VLOOKUP(E472,Sales_Reps!$A:$E,2,FALSE)</f>
        <v>Neha Desai</v>
      </c>
      <c r="S472">
        <f t="shared" si="7"/>
        <v>0.46158940397350995</v>
      </c>
    </row>
    <row r="473" spans="1:19" x14ac:dyDescent="0.3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  <c r="L473" t="str">
        <f>VLOOKUP(D473,Products!$A:$F,3,FALSE)</f>
        <v>Apparel</v>
      </c>
      <c r="M473" t="b">
        <f>VLOOKUP(D473,Products!$A:$F,6,FALSE)</f>
        <v>1</v>
      </c>
      <c r="N473">
        <f>VLOOKUP(D473,Products!$A:$F,4,FALSE)</f>
        <v>1886</v>
      </c>
      <c r="O473" t="str">
        <f>VLOOKUP(C473,Customers!$A:$F,5,FALSE)</f>
        <v>SMB</v>
      </c>
      <c r="P473">
        <f>VLOOKUP(C473,Customers!$A:$F,3,FALSE)</f>
        <v>61</v>
      </c>
      <c r="Q473" t="str">
        <f>VLOOKUP(E473,Sales_Reps!$A:$E,3,FALSE)</f>
        <v>East</v>
      </c>
      <c r="R473" t="str">
        <f>VLOOKUP(E473,Sales_Reps!$A:$E,2,FALSE)</f>
        <v>Meera Iyer</v>
      </c>
      <c r="S473">
        <f t="shared" si="7"/>
        <v>0.4031645569620253</v>
      </c>
    </row>
    <row r="474" spans="1:19" x14ac:dyDescent="0.3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  <c r="L474" t="str">
        <f>VLOOKUP(D474,Products!$A:$F,3,FALSE)</f>
        <v>Sports</v>
      </c>
      <c r="M474" t="b">
        <f>VLOOKUP(D474,Products!$A:$F,6,FALSE)</f>
        <v>0</v>
      </c>
      <c r="N474">
        <f>VLOOKUP(D474,Products!$A:$F,4,FALSE)</f>
        <v>302</v>
      </c>
      <c r="O474" t="str">
        <f>VLOOKUP(C474,Customers!$A:$F,5,FALSE)</f>
        <v>Retail</v>
      </c>
      <c r="P474">
        <f>VLOOKUP(C474,Customers!$A:$F,3,FALSE)</f>
        <v>35</v>
      </c>
      <c r="Q474" t="str">
        <f>VLOOKUP(E474,Sales_Reps!$A:$E,3,FALSE)</f>
        <v>East</v>
      </c>
      <c r="R474" t="str">
        <f>VLOOKUP(E474,Sales_Reps!$A:$E,2,FALSE)</f>
        <v>Meera Iyer</v>
      </c>
      <c r="S474">
        <f t="shared" si="7"/>
        <v>0.35744680851063831</v>
      </c>
    </row>
    <row r="475" spans="1:19" x14ac:dyDescent="0.3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  <c r="L475" t="str">
        <f>VLOOKUP(D475,Products!$A:$F,3,FALSE)</f>
        <v>Home</v>
      </c>
      <c r="M475" t="b">
        <f>VLOOKUP(D475,Products!$A:$F,6,FALSE)</f>
        <v>1</v>
      </c>
      <c r="N475">
        <f>VLOOKUP(D475,Products!$A:$F,4,FALSE)</f>
        <v>1556</v>
      </c>
      <c r="O475" t="str">
        <f>VLOOKUP(C475,Customers!$A:$F,5,FALSE)</f>
        <v>Retail</v>
      </c>
      <c r="P475">
        <f>VLOOKUP(C475,Customers!$A:$F,3,FALSE)</f>
        <v>37</v>
      </c>
      <c r="Q475" t="str">
        <f>VLOOKUP(E475,Sales_Reps!$A:$E,3,FALSE)</f>
        <v>East</v>
      </c>
      <c r="R475" t="str">
        <f>VLOOKUP(E475,Sales_Reps!$A:$E,2,FALSE)</f>
        <v>Gaurav Desai</v>
      </c>
      <c r="S475">
        <f t="shared" si="7"/>
        <v>0.52123076923076928</v>
      </c>
    </row>
    <row r="476" spans="1:19" x14ac:dyDescent="0.3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  <c r="L476" t="str">
        <f>VLOOKUP(D476,Products!$A:$F,3,FALSE)</f>
        <v>Sports</v>
      </c>
      <c r="M476" t="b">
        <f>VLOOKUP(D476,Products!$A:$F,6,FALSE)</f>
        <v>1</v>
      </c>
      <c r="N476">
        <f>VLOOKUP(D476,Products!$A:$F,4,FALSE)</f>
        <v>516</v>
      </c>
      <c r="O476" t="str">
        <f>VLOOKUP(C476,Customers!$A:$F,5,FALSE)</f>
        <v>SMB</v>
      </c>
      <c r="P476">
        <f>VLOOKUP(C476,Customers!$A:$F,3,FALSE)</f>
        <v>54</v>
      </c>
      <c r="Q476" t="str">
        <f>VLOOKUP(E476,Sales_Reps!$A:$E,3,FALSE)</f>
        <v>East</v>
      </c>
      <c r="R476" t="str">
        <f>VLOOKUP(E476,Sales_Reps!$A:$E,2,FALSE)</f>
        <v>Vinod Kumar</v>
      </c>
      <c r="S476">
        <f t="shared" si="7"/>
        <v>0.4891089108910891</v>
      </c>
    </row>
    <row r="477" spans="1:19" x14ac:dyDescent="0.3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  <c r="L477" t="str">
        <f>VLOOKUP(D477,Products!$A:$F,3,FALSE)</f>
        <v>Electronics</v>
      </c>
      <c r="M477" t="b">
        <f>VLOOKUP(D477,Products!$A:$F,6,FALSE)</f>
        <v>1</v>
      </c>
      <c r="N477">
        <f>VLOOKUP(D477,Products!$A:$F,4,FALSE)</f>
        <v>128</v>
      </c>
      <c r="O477" t="str">
        <f>VLOOKUP(C477,Customers!$A:$F,5,FALSE)</f>
        <v>SMB</v>
      </c>
      <c r="P477">
        <f>VLOOKUP(C477,Customers!$A:$F,3,FALSE)</f>
        <v>43</v>
      </c>
      <c r="Q477" t="str">
        <f>VLOOKUP(E477,Sales_Reps!$A:$E,3,FALSE)</f>
        <v>North</v>
      </c>
      <c r="R477" t="str">
        <f>VLOOKUP(E477,Sales_Reps!$A:$E,2,FALSE)</f>
        <v>Rajesh Malhotra</v>
      </c>
      <c r="S477">
        <f t="shared" si="7"/>
        <v>0.57333333333333336</v>
      </c>
    </row>
    <row r="478" spans="1:19" x14ac:dyDescent="0.3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  <c r="L478" t="str">
        <f>VLOOKUP(D478,Products!$A:$F,3,FALSE)</f>
        <v>Beauty</v>
      </c>
      <c r="M478" t="b">
        <f>VLOOKUP(D478,Products!$A:$F,6,FALSE)</f>
        <v>1</v>
      </c>
      <c r="N478">
        <f>VLOOKUP(D478,Products!$A:$F,4,FALSE)</f>
        <v>2237</v>
      </c>
      <c r="O478" t="str">
        <f>VLOOKUP(C478,Customers!$A:$F,5,FALSE)</f>
        <v>Corporate</v>
      </c>
      <c r="P478">
        <f>VLOOKUP(C478,Customers!$A:$F,3,FALSE)</f>
        <v>52</v>
      </c>
      <c r="Q478" t="str">
        <f>VLOOKUP(E478,Sales_Reps!$A:$E,3,FALSE)</f>
        <v>North</v>
      </c>
      <c r="R478" t="str">
        <f>VLOOKUP(E478,Sales_Reps!$A:$E,2,FALSE)</f>
        <v>Neha Desai</v>
      </c>
      <c r="S478">
        <f t="shared" si="7"/>
        <v>0.56137254901960787</v>
      </c>
    </row>
    <row r="479" spans="1:19" x14ac:dyDescent="0.3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  <c r="L479" t="str">
        <f>VLOOKUP(D479,Products!$A:$F,3,FALSE)</f>
        <v>Beauty</v>
      </c>
      <c r="M479" t="b">
        <f>VLOOKUP(D479,Products!$A:$F,6,FALSE)</f>
        <v>1</v>
      </c>
      <c r="N479">
        <f>VLOOKUP(D479,Products!$A:$F,4,FALSE)</f>
        <v>1728</v>
      </c>
      <c r="O479" t="str">
        <f>VLOOKUP(C479,Customers!$A:$F,5,FALSE)</f>
        <v>Retail</v>
      </c>
      <c r="P479">
        <f>VLOOKUP(C479,Customers!$A:$F,3,FALSE)</f>
        <v>31</v>
      </c>
      <c r="Q479" t="str">
        <f>VLOOKUP(E479,Sales_Reps!$A:$E,3,FALSE)</f>
        <v>West</v>
      </c>
      <c r="R479" t="str">
        <f>VLOOKUP(E479,Sales_Reps!$A:$E,2,FALSE)</f>
        <v>Preeti Shah</v>
      </c>
      <c r="S479">
        <f t="shared" si="7"/>
        <v>0.48417910447761192</v>
      </c>
    </row>
    <row r="480" spans="1:19" x14ac:dyDescent="0.3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  <c r="L480" t="str">
        <f>VLOOKUP(D480,Products!$A:$F,3,FALSE)</f>
        <v>Home</v>
      </c>
      <c r="M480" t="b">
        <f>VLOOKUP(D480,Products!$A:$F,6,FALSE)</f>
        <v>1</v>
      </c>
      <c r="N480">
        <f>VLOOKUP(D480,Products!$A:$F,4,FALSE)</f>
        <v>1556</v>
      </c>
      <c r="O480" t="str">
        <f>VLOOKUP(C480,Customers!$A:$F,5,FALSE)</f>
        <v>Retail</v>
      </c>
      <c r="P480">
        <f>VLOOKUP(C480,Customers!$A:$F,3,FALSE)</f>
        <v>55</v>
      </c>
      <c r="Q480" t="str">
        <f>VLOOKUP(E480,Sales_Reps!$A:$E,3,FALSE)</f>
        <v>East</v>
      </c>
      <c r="R480" t="str">
        <f>VLOOKUP(E480,Sales_Reps!$A:$E,2,FALSE)</f>
        <v>Nisha Menon</v>
      </c>
      <c r="S480">
        <f t="shared" si="7"/>
        <v>0.52123076923076928</v>
      </c>
    </row>
    <row r="481" spans="1:19" x14ac:dyDescent="0.3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  <c r="L481" t="str">
        <f>VLOOKUP(D481,Products!$A:$F,3,FALSE)</f>
        <v>Grocery</v>
      </c>
      <c r="M481" t="b">
        <f>VLOOKUP(D481,Products!$A:$F,6,FALSE)</f>
        <v>0</v>
      </c>
      <c r="N481">
        <f>VLOOKUP(D481,Products!$A:$F,4,FALSE)</f>
        <v>2214</v>
      </c>
      <c r="O481" t="str">
        <f>VLOOKUP(C481,Customers!$A:$F,5,FALSE)</f>
        <v>Retail</v>
      </c>
      <c r="P481">
        <f>VLOOKUP(C481,Customers!$A:$F,3,FALSE)</f>
        <v>38</v>
      </c>
      <c r="Q481" t="str">
        <f>VLOOKUP(E481,Sales_Reps!$A:$E,3,FALSE)</f>
        <v>North</v>
      </c>
      <c r="R481" t="str">
        <f>VLOOKUP(E481,Sales_Reps!$A:$E,2,FALSE)</f>
        <v>Kavita Patel</v>
      </c>
      <c r="S481">
        <f t="shared" si="7"/>
        <v>0.39508196721311473</v>
      </c>
    </row>
    <row r="482" spans="1:19" x14ac:dyDescent="0.3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  <c r="L482" t="str">
        <f>VLOOKUP(D482,Products!$A:$F,3,FALSE)</f>
        <v>Sports</v>
      </c>
      <c r="M482" t="b">
        <f>VLOOKUP(D482,Products!$A:$F,6,FALSE)</f>
        <v>1</v>
      </c>
      <c r="N482">
        <f>VLOOKUP(D482,Products!$A:$F,4,FALSE)</f>
        <v>974</v>
      </c>
      <c r="O482" t="str">
        <f>VLOOKUP(C482,Customers!$A:$F,5,FALSE)</f>
        <v>Retail</v>
      </c>
      <c r="P482">
        <f>VLOOKUP(C482,Customers!$A:$F,3,FALSE)</f>
        <v>51</v>
      </c>
      <c r="Q482" t="str">
        <f>VLOOKUP(E482,Sales_Reps!$A:$E,3,FALSE)</f>
        <v>South</v>
      </c>
      <c r="R482" t="str">
        <f>VLOOKUP(E482,Sales_Reps!$A:$E,2,FALSE)</f>
        <v>Manoj Patel</v>
      </c>
      <c r="S482">
        <f t="shared" si="7"/>
        <v>0.59416666666666662</v>
      </c>
    </row>
    <row r="483" spans="1:19" x14ac:dyDescent="0.3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  <c r="L483" t="str">
        <f>VLOOKUP(D483,Products!$A:$F,3,FALSE)</f>
        <v>Home</v>
      </c>
      <c r="M483" t="b">
        <f>VLOOKUP(D483,Products!$A:$F,6,FALSE)</f>
        <v>1</v>
      </c>
      <c r="N483">
        <f>VLOOKUP(D483,Products!$A:$F,4,FALSE)</f>
        <v>464</v>
      </c>
      <c r="O483" t="str">
        <f>VLOOKUP(C483,Customers!$A:$F,5,FALSE)</f>
        <v>Corporate</v>
      </c>
      <c r="P483">
        <f>VLOOKUP(C483,Customers!$A:$F,3,FALSE)</f>
        <v>31</v>
      </c>
      <c r="Q483" t="str">
        <f>VLOOKUP(E483,Sales_Reps!$A:$E,3,FALSE)</f>
        <v>South</v>
      </c>
      <c r="R483" t="str">
        <f>VLOOKUP(E483,Sales_Reps!$A:$E,2,FALSE)</f>
        <v>Divya Rao</v>
      </c>
      <c r="S483">
        <f t="shared" si="7"/>
        <v>0.57431192660550456</v>
      </c>
    </row>
    <row r="484" spans="1:19" x14ac:dyDescent="0.3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  <c r="L484" t="str">
        <f>VLOOKUP(D484,Products!$A:$F,3,FALSE)</f>
        <v>Sports</v>
      </c>
      <c r="M484" t="b">
        <f>VLOOKUP(D484,Products!$A:$F,6,FALSE)</f>
        <v>1</v>
      </c>
      <c r="N484">
        <f>VLOOKUP(D484,Products!$A:$F,4,FALSE)</f>
        <v>1860</v>
      </c>
      <c r="O484" t="str">
        <f>VLOOKUP(C484,Customers!$A:$F,5,FALSE)</f>
        <v>Retail</v>
      </c>
      <c r="P484">
        <f>VLOOKUP(C484,Customers!$A:$F,3,FALSE)</f>
        <v>22</v>
      </c>
      <c r="Q484" t="str">
        <f>VLOOKUP(E484,Sales_Reps!$A:$E,3,FALSE)</f>
        <v>South</v>
      </c>
      <c r="R484" t="str">
        <f>VLOOKUP(E484,Sales_Reps!$A:$E,2,FALSE)</f>
        <v>Deepak Shah</v>
      </c>
      <c r="S484">
        <f t="shared" si="7"/>
        <v>0.50793650793650791</v>
      </c>
    </row>
    <row r="485" spans="1:19" x14ac:dyDescent="0.3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  <c r="L485" t="str">
        <f>VLOOKUP(D485,Products!$A:$F,3,FALSE)</f>
        <v>Beauty</v>
      </c>
      <c r="M485" t="b">
        <f>VLOOKUP(D485,Products!$A:$F,6,FALSE)</f>
        <v>1</v>
      </c>
      <c r="N485">
        <f>VLOOKUP(D485,Products!$A:$F,4,FALSE)</f>
        <v>1728</v>
      </c>
      <c r="O485" t="str">
        <f>VLOOKUP(C485,Customers!$A:$F,5,FALSE)</f>
        <v>SMB</v>
      </c>
      <c r="P485">
        <f>VLOOKUP(C485,Customers!$A:$F,3,FALSE)</f>
        <v>49</v>
      </c>
      <c r="Q485" t="str">
        <f>VLOOKUP(E485,Sales_Reps!$A:$E,3,FALSE)</f>
        <v>East</v>
      </c>
      <c r="R485" t="str">
        <f>VLOOKUP(E485,Sales_Reps!$A:$E,2,FALSE)</f>
        <v>Prakash Shah</v>
      </c>
      <c r="S485">
        <f t="shared" si="7"/>
        <v>0.48417910447761192</v>
      </c>
    </row>
    <row r="486" spans="1:19" x14ac:dyDescent="0.3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  <c r="L486" t="str">
        <f>VLOOKUP(D486,Products!$A:$F,3,FALSE)</f>
        <v>Home</v>
      </c>
      <c r="M486" t="b">
        <f>VLOOKUP(D486,Products!$A:$F,6,FALSE)</f>
        <v>1</v>
      </c>
      <c r="N486">
        <f>VLOOKUP(D486,Products!$A:$F,4,FALSE)</f>
        <v>519</v>
      </c>
      <c r="O486" t="str">
        <f>VLOOKUP(C486,Customers!$A:$F,5,FALSE)</f>
        <v>Corporate</v>
      </c>
      <c r="P486">
        <f>VLOOKUP(C486,Customers!$A:$F,3,FALSE)</f>
        <v>57</v>
      </c>
      <c r="Q486" t="str">
        <f>VLOOKUP(E486,Sales_Reps!$A:$E,3,FALSE)</f>
        <v>West</v>
      </c>
      <c r="R486" t="str">
        <f>VLOOKUP(E486,Sales_Reps!$A:$E,2,FALSE)</f>
        <v>Kiran Bhatt</v>
      </c>
      <c r="S486">
        <f t="shared" si="7"/>
        <v>0.51944444444444449</v>
      </c>
    </row>
    <row r="487" spans="1:19" x14ac:dyDescent="0.3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  <c r="L487" t="str">
        <f>VLOOKUP(D487,Products!$A:$F,3,FALSE)</f>
        <v>Grocery</v>
      </c>
      <c r="M487" t="b">
        <f>VLOOKUP(D487,Products!$A:$F,6,FALSE)</f>
        <v>1</v>
      </c>
      <c r="N487">
        <f>VLOOKUP(D487,Products!$A:$F,4,FALSE)</f>
        <v>2027</v>
      </c>
      <c r="O487" t="str">
        <f>VLOOKUP(C487,Customers!$A:$F,5,FALSE)</f>
        <v>SMB</v>
      </c>
      <c r="P487">
        <f>VLOOKUP(C487,Customers!$A:$F,3,FALSE)</f>
        <v>57</v>
      </c>
      <c r="Q487" t="str">
        <f>VLOOKUP(E487,Sales_Reps!$A:$E,3,FALSE)</f>
        <v>East</v>
      </c>
      <c r="R487" t="str">
        <f>VLOOKUP(E487,Sales_Reps!$A:$E,2,FALSE)</f>
        <v>Nisha Menon</v>
      </c>
      <c r="S487">
        <f t="shared" si="7"/>
        <v>0.50196560196560192</v>
      </c>
    </row>
    <row r="488" spans="1:19" x14ac:dyDescent="0.3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  <c r="L488" t="str">
        <f>VLOOKUP(D488,Products!$A:$F,3,FALSE)</f>
        <v>Beauty</v>
      </c>
      <c r="M488" t="b">
        <f>VLOOKUP(D488,Products!$A:$F,6,FALSE)</f>
        <v>0</v>
      </c>
      <c r="N488">
        <f>VLOOKUP(D488,Products!$A:$F,4,FALSE)</f>
        <v>647</v>
      </c>
      <c r="O488" t="str">
        <f>VLOOKUP(C488,Customers!$A:$F,5,FALSE)</f>
        <v>Retail</v>
      </c>
      <c r="P488">
        <f>VLOOKUP(C488,Customers!$A:$F,3,FALSE)</f>
        <v>22</v>
      </c>
      <c r="Q488" t="str">
        <f>VLOOKUP(E488,Sales_Reps!$A:$E,3,FALSE)</f>
        <v>West</v>
      </c>
      <c r="R488" t="str">
        <f>VLOOKUP(E488,Sales_Reps!$A:$E,2,FALSE)</f>
        <v>Sonia Malhotra</v>
      </c>
      <c r="S488">
        <f t="shared" si="7"/>
        <v>0.57987012987012987</v>
      </c>
    </row>
    <row r="489" spans="1:19" x14ac:dyDescent="0.3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  <c r="L489" t="str">
        <f>VLOOKUP(D489,Products!$A:$F,3,FALSE)</f>
        <v>Grocery</v>
      </c>
      <c r="M489" t="b">
        <f>VLOOKUP(D489,Products!$A:$F,6,FALSE)</f>
        <v>1</v>
      </c>
      <c r="N489">
        <f>VLOOKUP(D489,Products!$A:$F,4,FALSE)</f>
        <v>1435</v>
      </c>
      <c r="O489" t="str">
        <f>VLOOKUP(C489,Customers!$A:$F,5,FALSE)</f>
        <v>SMB</v>
      </c>
      <c r="P489">
        <f>VLOOKUP(C489,Customers!$A:$F,3,FALSE)</f>
        <v>28</v>
      </c>
      <c r="Q489" t="str">
        <f>VLOOKUP(E489,Sales_Reps!$A:$E,3,FALSE)</f>
        <v>West</v>
      </c>
      <c r="R489" t="str">
        <f>VLOOKUP(E489,Sales_Reps!$A:$E,2,FALSE)</f>
        <v>Preeti Shah</v>
      </c>
      <c r="S489">
        <f t="shared" si="7"/>
        <v>0.48007246376811596</v>
      </c>
    </row>
    <row r="490" spans="1:19" x14ac:dyDescent="0.3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  <c r="L490" t="str">
        <f>VLOOKUP(D490,Products!$A:$F,3,FALSE)</f>
        <v>Electronics</v>
      </c>
      <c r="M490" t="b">
        <f>VLOOKUP(D490,Products!$A:$F,6,FALSE)</f>
        <v>1</v>
      </c>
      <c r="N490">
        <f>VLOOKUP(D490,Products!$A:$F,4,FALSE)</f>
        <v>2865</v>
      </c>
      <c r="O490" t="str">
        <f>VLOOKUP(C490,Customers!$A:$F,5,FALSE)</f>
        <v>Retail</v>
      </c>
      <c r="P490">
        <f>VLOOKUP(C490,Customers!$A:$F,3,FALSE)</f>
        <v>28</v>
      </c>
      <c r="Q490" t="str">
        <f>VLOOKUP(E490,Sales_Reps!$A:$E,3,FALSE)</f>
        <v>East</v>
      </c>
      <c r="R490" t="str">
        <f>VLOOKUP(E490,Sales_Reps!$A:$E,2,FALSE)</f>
        <v>Nisha Menon</v>
      </c>
      <c r="S490">
        <f t="shared" si="7"/>
        <v>0.27833753148614609</v>
      </c>
    </row>
    <row r="491" spans="1:19" x14ac:dyDescent="0.3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  <c r="L491" t="str">
        <f>VLOOKUP(D491,Products!$A:$F,3,FALSE)</f>
        <v>Apparel</v>
      </c>
      <c r="M491" t="b">
        <f>VLOOKUP(D491,Products!$A:$F,6,FALSE)</f>
        <v>1</v>
      </c>
      <c r="N491">
        <f>VLOOKUP(D491,Products!$A:$F,4,FALSE)</f>
        <v>1748</v>
      </c>
      <c r="O491" t="str">
        <f>VLOOKUP(C491,Customers!$A:$F,5,FALSE)</f>
        <v>Retail</v>
      </c>
      <c r="P491">
        <f>VLOOKUP(C491,Customers!$A:$F,3,FALSE)</f>
        <v>37</v>
      </c>
      <c r="Q491" t="str">
        <f>VLOOKUP(E491,Sales_Reps!$A:$E,3,FALSE)</f>
        <v>East</v>
      </c>
      <c r="R491" t="str">
        <f>VLOOKUP(E491,Sales_Reps!$A:$E,2,FALSE)</f>
        <v>Gaurav Desai</v>
      </c>
      <c r="S491">
        <f t="shared" si="7"/>
        <v>0.49333333333333335</v>
      </c>
    </row>
    <row r="492" spans="1:19" x14ac:dyDescent="0.3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  <c r="L492" t="str">
        <f>VLOOKUP(D492,Products!$A:$F,3,FALSE)</f>
        <v>Apparel</v>
      </c>
      <c r="M492" t="b">
        <f>VLOOKUP(D492,Products!$A:$F,6,FALSE)</f>
        <v>1</v>
      </c>
      <c r="N492">
        <f>VLOOKUP(D492,Products!$A:$F,4,FALSE)</f>
        <v>2629</v>
      </c>
      <c r="O492" t="str">
        <f>VLOOKUP(C492,Customers!$A:$F,5,FALSE)</f>
        <v>Corporate</v>
      </c>
      <c r="P492">
        <f>VLOOKUP(C492,Customers!$A:$F,3,FALSE)</f>
        <v>36</v>
      </c>
      <c r="Q492" t="str">
        <f>VLOOKUP(E492,Sales_Reps!$A:$E,3,FALSE)</f>
        <v>North</v>
      </c>
      <c r="R492" t="str">
        <f>VLOOKUP(E492,Sales_Reps!$A:$E,2,FALSE)</f>
        <v>Vikram Patel</v>
      </c>
      <c r="S492">
        <f t="shared" si="7"/>
        <v>0.26151685393258428</v>
      </c>
    </row>
    <row r="493" spans="1:19" x14ac:dyDescent="0.3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  <c r="L493" t="str">
        <f>VLOOKUP(D493,Products!$A:$F,3,FALSE)</f>
        <v>Electronics</v>
      </c>
      <c r="M493" t="b">
        <f>VLOOKUP(D493,Products!$A:$F,6,FALSE)</f>
        <v>1</v>
      </c>
      <c r="N493">
        <f>VLOOKUP(D493,Products!$A:$F,4,FALSE)</f>
        <v>1665</v>
      </c>
      <c r="O493" t="str">
        <f>VLOOKUP(C493,Customers!$A:$F,5,FALSE)</f>
        <v>Corporate</v>
      </c>
      <c r="P493">
        <f>VLOOKUP(C493,Customers!$A:$F,3,FALSE)</f>
        <v>29</v>
      </c>
      <c r="Q493" t="str">
        <f>VLOOKUP(E493,Sales_Reps!$A:$E,3,FALSE)</f>
        <v>West</v>
      </c>
      <c r="R493" t="str">
        <f>VLOOKUP(E493,Sales_Reps!$A:$E,2,FALSE)</f>
        <v>Kiran Bhatt</v>
      </c>
      <c r="S493">
        <f t="shared" si="7"/>
        <v>0.53361344537815125</v>
      </c>
    </row>
    <row r="494" spans="1:19" x14ac:dyDescent="0.3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  <c r="L494" t="str">
        <f>VLOOKUP(D494,Products!$A:$F,3,FALSE)</f>
        <v>Sports</v>
      </c>
      <c r="M494" t="b">
        <f>VLOOKUP(D494,Products!$A:$F,6,FALSE)</f>
        <v>1</v>
      </c>
      <c r="N494">
        <f>VLOOKUP(D494,Products!$A:$F,4,FALSE)</f>
        <v>705</v>
      </c>
      <c r="O494" t="str">
        <f>VLOOKUP(C494,Customers!$A:$F,5,FALSE)</f>
        <v>Retail</v>
      </c>
      <c r="P494">
        <f>VLOOKUP(C494,Customers!$A:$F,3,FALSE)</f>
        <v>59</v>
      </c>
      <c r="Q494" t="str">
        <f>VLOOKUP(E494,Sales_Reps!$A:$E,3,FALSE)</f>
        <v>West</v>
      </c>
      <c r="R494" t="str">
        <f>VLOOKUP(E494,Sales_Reps!$A:$E,2,FALSE)</f>
        <v>Ashok Reddy</v>
      </c>
      <c r="S494">
        <f t="shared" si="7"/>
        <v>0.265625</v>
      </c>
    </row>
    <row r="495" spans="1:19" x14ac:dyDescent="0.3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  <c r="L495" t="str">
        <f>VLOOKUP(D495,Products!$A:$F,3,FALSE)</f>
        <v>Beauty</v>
      </c>
      <c r="M495" t="b">
        <f>VLOOKUP(D495,Products!$A:$F,6,FALSE)</f>
        <v>1</v>
      </c>
      <c r="N495">
        <f>VLOOKUP(D495,Products!$A:$F,4,FALSE)</f>
        <v>2420</v>
      </c>
      <c r="O495" t="str">
        <f>VLOOKUP(C495,Customers!$A:$F,5,FALSE)</f>
        <v>Corporate</v>
      </c>
      <c r="P495">
        <f>VLOOKUP(C495,Customers!$A:$F,3,FALSE)</f>
        <v>52</v>
      </c>
      <c r="Q495" t="str">
        <f>VLOOKUP(E495,Sales_Reps!$A:$E,3,FALSE)</f>
        <v>South</v>
      </c>
      <c r="R495" t="str">
        <f>VLOOKUP(E495,Sales_Reps!$A:$E,2,FALSE)</f>
        <v>Anjali Chopra</v>
      </c>
      <c r="S495">
        <f t="shared" si="7"/>
        <v>0.29855072463768118</v>
      </c>
    </row>
    <row r="496" spans="1:19" x14ac:dyDescent="0.3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  <c r="L496" t="str">
        <f>VLOOKUP(D496,Products!$A:$F,3,FALSE)</f>
        <v>Beauty</v>
      </c>
      <c r="M496" t="b">
        <f>VLOOKUP(D496,Products!$A:$F,6,FALSE)</f>
        <v>1</v>
      </c>
      <c r="N496">
        <f>VLOOKUP(D496,Products!$A:$F,4,FALSE)</f>
        <v>1728</v>
      </c>
      <c r="O496" t="str">
        <f>VLOOKUP(C496,Customers!$A:$F,5,FALSE)</f>
        <v>Retail</v>
      </c>
      <c r="P496">
        <f>VLOOKUP(C496,Customers!$A:$F,3,FALSE)</f>
        <v>59</v>
      </c>
      <c r="Q496" t="str">
        <f>VLOOKUP(E496,Sales_Reps!$A:$E,3,FALSE)</f>
        <v>South</v>
      </c>
      <c r="R496" t="str">
        <f>VLOOKUP(E496,Sales_Reps!$A:$E,2,FALSE)</f>
        <v>Pooja Nair</v>
      </c>
      <c r="S496">
        <f t="shared" si="7"/>
        <v>0.48417910447761192</v>
      </c>
    </row>
    <row r="497" spans="1:19" x14ac:dyDescent="0.3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  <c r="L497" t="str">
        <f>VLOOKUP(D497,Products!$A:$F,3,FALSE)</f>
        <v>Beauty</v>
      </c>
      <c r="M497" t="b">
        <f>VLOOKUP(D497,Products!$A:$F,6,FALSE)</f>
        <v>1</v>
      </c>
      <c r="N497">
        <f>VLOOKUP(D497,Products!$A:$F,4,FALSE)</f>
        <v>675</v>
      </c>
      <c r="O497" t="str">
        <f>VLOOKUP(C497,Customers!$A:$F,5,FALSE)</f>
        <v>Retail</v>
      </c>
      <c r="P497">
        <f>VLOOKUP(C497,Customers!$A:$F,3,FALSE)</f>
        <v>35</v>
      </c>
      <c r="Q497" t="str">
        <f>VLOOKUP(E497,Sales_Reps!$A:$E,3,FALSE)</f>
        <v>North</v>
      </c>
      <c r="R497" t="str">
        <f>VLOOKUP(E497,Sales_Reps!$A:$E,2,FALSE)</f>
        <v>Priya Singh</v>
      </c>
      <c r="S497">
        <f t="shared" si="7"/>
        <v>0.296875</v>
      </c>
    </row>
    <row r="498" spans="1:19" x14ac:dyDescent="0.3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  <c r="L498" t="str">
        <f>VLOOKUP(D498,Products!$A:$F,3,FALSE)</f>
        <v>Electronics</v>
      </c>
      <c r="M498" t="b">
        <f>VLOOKUP(D498,Products!$A:$F,6,FALSE)</f>
        <v>1</v>
      </c>
      <c r="N498">
        <f>VLOOKUP(D498,Products!$A:$F,4,FALSE)</f>
        <v>128</v>
      </c>
      <c r="O498" t="str">
        <f>VLOOKUP(C498,Customers!$A:$F,5,FALSE)</f>
        <v>SMB</v>
      </c>
      <c r="P498">
        <f>VLOOKUP(C498,Customers!$A:$F,3,FALSE)</f>
        <v>27</v>
      </c>
      <c r="Q498" t="str">
        <f>VLOOKUP(E498,Sales_Reps!$A:$E,3,FALSE)</f>
        <v>South</v>
      </c>
      <c r="R498" t="str">
        <f>VLOOKUP(E498,Sales_Reps!$A:$E,2,FALSE)</f>
        <v>Anjali Chopra</v>
      </c>
      <c r="S498">
        <f t="shared" si="7"/>
        <v>0.57333333333333336</v>
      </c>
    </row>
    <row r="499" spans="1:19" x14ac:dyDescent="0.3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  <c r="L499" t="str">
        <f>VLOOKUP(D499,Products!$A:$F,3,FALSE)</f>
        <v>Grocery</v>
      </c>
      <c r="M499" t="b">
        <f>VLOOKUP(D499,Products!$A:$F,6,FALSE)</f>
        <v>1</v>
      </c>
      <c r="N499">
        <f>VLOOKUP(D499,Products!$A:$F,4,FALSE)</f>
        <v>1182</v>
      </c>
      <c r="O499" t="str">
        <f>VLOOKUP(C499,Customers!$A:$F,5,FALSE)</f>
        <v>Retail</v>
      </c>
      <c r="P499">
        <f>VLOOKUP(C499,Customers!$A:$F,3,FALSE)</f>
        <v>38</v>
      </c>
      <c r="Q499" t="str">
        <f>VLOOKUP(E499,Sales_Reps!$A:$E,3,FALSE)</f>
        <v>East</v>
      </c>
      <c r="R499" t="str">
        <f>VLOOKUP(E499,Sales_Reps!$A:$E,2,FALSE)</f>
        <v>Prakash Shah</v>
      </c>
      <c r="S499">
        <f t="shared" si="7"/>
        <v>0.50336134453781511</v>
      </c>
    </row>
    <row r="500" spans="1:19" x14ac:dyDescent="0.3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  <c r="L500" t="str">
        <f>VLOOKUP(D500,Products!$A:$F,3,FALSE)</f>
        <v>Sports</v>
      </c>
      <c r="M500" t="b">
        <f>VLOOKUP(D500,Products!$A:$F,6,FALSE)</f>
        <v>1</v>
      </c>
      <c r="N500">
        <f>VLOOKUP(D500,Products!$A:$F,4,FALSE)</f>
        <v>705</v>
      </c>
      <c r="O500" t="str">
        <f>VLOOKUP(C500,Customers!$A:$F,5,FALSE)</f>
        <v>Retail</v>
      </c>
      <c r="P500">
        <f>VLOOKUP(C500,Customers!$A:$F,3,FALSE)</f>
        <v>29</v>
      </c>
      <c r="Q500" t="str">
        <f>VLOOKUP(E500,Sales_Reps!$A:$E,3,FALSE)</f>
        <v>West</v>
      </c>
      <c r="R500" t="str">
        <f>VLOOKUP(E500,Sales_Reps!$A:$E,2,FALSE)</f>
        <v>Rekha Chopra</v>
      </c>
      <c r="S500">
        <f t="shared" si="7"/>
        <v>0.265625</v>
      </c>
    </row>
    <row r="501" spans="1:19" x14ac:dyDescent="0.3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  <c r="L501" t="str">
        <f>VLOOKUP(D501,Products!$A:$F,3,FALSE)</f>
        <v>Sports</v>
      </c>
      <c r="M501" t="b">
        <f>VLOOKUP(D501,Products!$A:$F,6,FALSE)</f>
        <v>1</v>
      </c>
      <c r="N501">
        <f>VLOOKUP(D501,Products!$A:$F,4,FALSE)</f>
        <v>1860</v>
      </c>
      <c r="O501" t="str">
        <f>VLOOKUP(C501,Customers!$A:$F,5,FALSE)</f>
        <v>SMB</v>
      </c>
      <c r="P501">
        <f>VLOOKUP(C501,Customers!$A:$F,3,FALSE)</f>
        <v>55</v>
      </c>
      <c r="Q501" t="str">
        <f>VLOOKUP(E501,Sales_Reps!$A:$E,3,FALSE)</f>
        <v>South</v>
      </c>
      <c r="R501" t="str">
        <f>VLOOKUP(E501,Sales_Reps!$A:$E,2,FALSE)</f>
        <v>Pooja Nair</v>
      </c>
      <c r="S501">
        <f t="shared" si="7"/>
        <v>0.50793650793650791</v>
      </c>
    </row>
    <row r="502" spans="1:19" x14ac:dyDescent="0.3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  <c r="L502" t="str">
        <f>VLOOKUP(D502,Products!$A:$F,3,FALSE)</f>
        <v>Beauty</v>
      </c>
      <c r="M502" t="b">
        <f>VLOOKUP(D502,Products!$A:$F,6,FALSE)</f>
        <v>0</v>
      </c>
      <c r="N502">
        <f>VLOOKUP(D502,Products!$A:$F,4,FALSE)</f>
        <v>647</v>
      </c>
      <c r="O502" t="str">
        <f>VLOOKUP(C502,Customers!$A:$F,5,FALSE)</f>
        <v>Retail</v>
      </c>
      <c r="P502">
        <f>VLOOKUP(C502,Customers!$A:$F,3,FALSE)</f>
        <v>51</v>
      </c>
      <c r="Q502" t="str">
        <f>VLOOKUP(E502,Sales_Reps!$A:$E,3,FALSE)</f>
        <v>East</v>
      </c>
      <c r="R502" t="str">
        <f>VLOOKUP(E502,Sales_Reps!$A:$E,2,FALSE)</f>
        <v>Meera Iyer</v>
      </c>
      <c r="S502">
        <f t="shared" si="7"/>
        <v>0.57987012987012987</v>
      </c>
    </row>
    <row r="503" spans="1:19" x14ac:dyDescent="0.3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  <c r="L503" t="str">
        <f>VLOOKUP(D503,Products!$A:$F,3,FALSE)</f>
        <v>Apparel</v>
      </c>
      <c r="M503" t="b">
        <f>VLOOKUP(D503,Products!$A:$F,6,FALSE)</f>
        <v>0</v>
      </c>
      <c r="N503">
        <f>VLOOKUP(D503,Products!$A:$F,4,FALSE)</f>
        <v>1075</v>
      </c>
      <c r="O503" t="str">
        <f>VLOOKUP(C503,Customers!$A:$F,5,FALSE)</f>
        <v>Retail</v>
      </c>
      <c r="P503">
        <f>VLOOKUP(C503,Customers!$A:$F,3,FALSE)</f>
        <v>52</v>
      </c>
      <c r="Q503" t="str">
        <f>VLOOKUP(E503,Sales_Reps!$A:$E,3,FALSE)</f>
        <v>North</v>
      </c>
      <c r="R503" t="str">
        <f>VLOOKUP(E503,Sales_Reps!$A:$E,2,FALSE)</f>
        <v>Vikram Patel</v>
      </c>
      <c r="S503">
        <f t="shared" si="7"/>
        <v>0.57171314741035861</v>
      </c>
    </row>
    <row r="504" spans="1:19" x14ac:dyDescent="0.3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  <c r="L504" t="str">
        <f>VLOOKUP(D504,Products!$A:$F,3,FALSE)</f>
        <v>Grocery</v>
      </c>
      <c r="M504" t="b">
        <f>VLOOKUP(D504,Products!$A:$F,6,FALSE)</f>
        <v>1</v>
      </c>
      <c r="N504">
        <f>VLOOKUP(D504,Products!$A:$F,4,FALSE)</f>
        <v>2911</v>
      </c>
      <c r="O504" t="str">
        <f>VLOOKUP(C504,Customers!$A:$F,5,FALSE)</f>
        <v>Retail</v>
      </c>
      <c r="P504">
        <f>VLOOKUP(C504,Customers!$A:$F,3,FALSE)</f>
        <v>44</v>
      </c>
      <c r="Q504" t="str">
        <f>VLOOKUP(E504,Sales_Reps!$A:$E,3,FALSE)</f>
        <v>South</v>
      </c>
      <c r="R504" t="str">
        <f>VLOOKUP(E504,Sales_Reps!$A:$E,2,FALSE)</f>
        <v>Ritu Menon</v>
      </c>
      <c r="S504">
        <f t="shared" si="7"/>
        <v>0.28300492610837441</v>
      </c>
    </row>
    <row r="505" spans="1:19" x14ac:dyDescent="0.3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  <c r="L505" t="str">
        <f>VLOOKUP(D505,Products!$A:$F,3,FALSE)</f>
        <v>Sports</v>
      </c>
      <c r="M505" t="b">
        <f>VLOOKUP(D505,Products!$A:$F,6,FALSE)</f>
        <v>1</v>
      </c>
      <c r="N505">
        <f>VLOOKUP(D505,Products!$A:$F,4,FALSE)</f>
        <v>974</v>
      </c>
      <c r="O505" t="str">
        <f>VLOOKUP(C505,Customers!$A:$F,5,FALSE)</f>
        <v>SMB</v>
      </c>
      <c r="P505">
        <f>VLOOKUP(C505,Customers!$A:$F,3,FALSE)</f>
        <v>28</v>
      </c>
      <c r="Q505" t="str">
        <f>VLOOKUP(E505,Sales_Reps!$A:$E,3,FALSE)</f>
        <v>West</v>
      </c>
      <c r="R505" t="str">
        <f>VLOOKUP(E505,Sales_Reps!$A:$E,2,FALSE)</f>
        <v>Ashok Reddy</v>
      </c>
      <c r="S505">
        <f t="shared" si="7"/>
        <v>0.59416666666666662</v>
      </c>
    </row>
    <row r="506" spans="1:19" x14ac:dyDescent="0.3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  <c r="L506" t="str">
        <f>VLOOKUP(D506,Products!$A:$F,3,FALSE)</f>
        <v>Beauty</v>
      </c>
      <c r="M506" t="b">
        <f>VLOOKUP(D506,Products!$A:$F,6,FALSE)</f>
        <v>1</v>
      </c>
      <c r="N506">
        <f>VLOOKUP(D506,Products!$A:$F,4,FALSE)</f>
        <v>2768</v>
      </c>
      <c r="O506" t="str">
        <f>VLOOKUP(C506,Customers!$A:$F,5,FALSE)</f>
        <v>Corporate</v>
      </c>
      <c r="P506">
        <f>VLOOKUP(C506,Customers!$A:$F,3,FALSE)</f>
        <v>46</v>
      </c>
      <c r="Q506" t="str">
        <f>VLOOKUP(E506,Sales_Reps!$A:$E,3,FALSE)</f>
        <v>East</v>
      </c>
      <c r="R506" t="str">
        <f>VLOOKUP(E506,Sales_Reps!$A:$E,2,FALSE)</f>
        <v>Nisha Menon</v>
      </c>
      <c r="S506">
        <f t="shared" si="7"/>
        <v>0.43278688524590164</v>
      </c>
    </row>
    <row r="507" spans="1:19" x14ac:dyDescent="0.3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  <c r="L507" t="str">
        <f>VLOOKUP(D507,Products!$A:$F,3,FALSE)</f>
        <v>Beauty</v>
      </c>
      <c r="M507" t="b">
        <f>VLOOKUP(D507,Products!$A:$F,6,FALSE)</f>
        <v>1</v>
      </c>
      <c r="N507">
        <f>VLOOKUP(D507,Products!$A:$F,4,FALSE)</f>
        <v>2237</v>
      </c>
      <c r="O507" t="str">
        <f>VLOOKUP(C507,Customers!$A:$F,5,FALSE)</f>
        <v>Retail</v>
      </c>
      <c r="P507">
        <f>VLOOKUP(C507,Customers!$A:$F,3,FALSE)</f>
        <v>44</v>
      </c>
      <c r="Q507" t="str">
        <f>VLOOKUP(E507,Sales_Reps!$A:$E,3,FALSE)</f>
        <v>East</v>
      </c>
      <c r="R507" t="str">
        <f>VLOOKUP(E507,Sales_Reps!$A:$E,2,FALSE)</f>
        <v>Prakash Shah</v>
      </c>
      <c r="S507">
        <f t="shared" si="7"/>
        <v>0.56137254901960787</v>
      </c>
    </row>
    <row r="508" spans="1:19" x14ac:dyDescent="0.3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  <c r="L508" t="str">
        <f>VLOOKUP(D508,Products!$A:$F,3,FALSE)</f>
        <v>Electronics</v>
      </c>
      <c r="M508" t="b">
        <f>VLOOKUP(D508,Products!$A:$F,6,FALSE)</f>
        <v>1</v>
      </c>
      <c r="N508">
        <f>VLOOKUP(D508,Products!$A:$F,4,FALSE)</f>
        <v>128</v>
      </c>
      <c r="O508" t="str">
        <f>VLOOKUP(C508,Customers!$A:$F,5,FALSE)</f>
        <v>SMB</v>
      </c>
      <c r="P508">
        <f>VLOOKUP(C508,Customers!$A:$F,3,FALSE)</f>
        <v>38</v>
      </c>
      <c r="Q508" t="str">
        <f>VLOOKUP(E508,Sales_Reps!$A:$E,3,FALSE)</f>
        <v>West</v>
      </c>
      <c r="R508" t="str">
        <f>VLOOKUP(E508,Sales_Reps!$A:$E,2,FALSE)</f>
        <v>Preeti Shah</v>
      </c>
      <c r="S508">
        <f t="shared" si="7"/>
        <v>0.57333333333333336</v>
      </c>
    </row>
    <row r="509" spans="1:19" x14ac:dyDescent="0.3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  <c r="L509" t="str">
        <f>VLOOKUP(D509,Products!$A:$F,3,FALSE)</f>
        <v>Apparel</v>
      </c>
      <c r="M509" t="b">
        <f>VLOOKUP(D509,Products!$A:$F,6,FALSE)</f>
        <v>1</v>
      </c>
      <c r="N509">
        <f>VLOOKUP(D509,Products!$A:$F,4,FALSE)</f>
        <v>1173</v>
      </c>
      <c r="O509" t="str">
        <f>VLOOKUP(C509,Customers!$A:$F,5,FALSE)</f>
        <v>Retail</v>
      </c>
      <c r="P509">
        <f>VLOOKUP(C509,Customers!$A:$F,3,FALSE)</f>
        <v>26</v>
      </c>
      <c r="Q509" t="str">
        <f>VLOOKUP(E509,Sales_Reps!$A:$E,3,FALSE)</f>
        <v>South</v>
      </c>
      <c r="R509" t="str">
        <f>VLOOKUP(E509,Sales_Reps!$A:$E,2,FALSE)</f>
        <v>Ritu Menon</v>
      </c>
      <c r="S509">
        <f t="shared" si="7"/>
        <v>0.52701612903225803</v>
      </c>
    </row>
    <row r="510" spans="1:19" x14ac:dyDescent="0.3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  <c r="L510" t="str">
        <f>VLOOKUP(D510,Products!$A:$F,3,FALSE)</f>
        <v>Beauty</v>
      </c>
      <c r="M510" t="b">
        <f>VLOOKUP(D510,Products!$A:$F,6,FALSE)</f>
        <v>1</v>
      </c>
      <c r="N510">
        <f>VLOOKUP(D510,Products!$A:$F,4,FALSE)</f>
        <v>1222</v>
      </c>
      <c r="O510" t="str">
        <f>VLOOKUP(C510,Customers!$A:$F,5,FALSE)</f>
        <v>Retail</v>
      </c>
      <c r="P510">
        <f>VLOOKUP(C510,Customers!$A:$F,3,FALSE)</f>
        <v>36</v>
      </c>
      <c r="Q510" t="str">
        <f>VLOOKUP(E510,Sales_Reps!$A:$E,3,FALSE)</f>
        <v>East</v>
      </c>
      <c r="R510" t="str">
        <f>VLOOKUP(E510,Sales_Reps!$A:$E,2,FALSE)</f>
        <v>Vinod Kumar</v>
      </c>
      <c r="S510">
        <f t="shared" si="7"/>
        <v>0.2593939393939394</v>
      </c>
    </row>
    <row r="511" spans="1:19" x14ac:dyDescent="0.3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  <c r="L511" t="str">
        <f>VLOOKUP(D511,Products!$A:$F,3,FALSE)</f>
        <v>Grocery</v>
      </c>
      <c r="M511" t="b">
        <f>VLOOKUP(D511,Products!$A:$F,6,FALSE)</f>
        <v>1</v>
      </c>
      <c r="N511">
        <f>VLOOKUP(D511,Products!$A:$F,4,FALSE)</f>
        <v>1010</v>
      </c>
      <c r="O511" t="str">
        <f>VLOOKUP(C511,Customers!$A:$F,5,FALSE)</f>
        <v>Corporate</v>
      </c>
      <c r="P511">
        <f>VLOOKUP(C511,Customers!$A:$F,3,FALSE)</f>
        <v>54</v>
      </c>
      <c r="Q511" t="str">
        <f>VLOOKUP(E511,Sales_Reps!$A:$E,3,FALSE)</f>
        <v>South</v>
      </c>
      <c r="R511" t="str">
        <f>VLOOKUP(E511,Sales_Reps!$A:$E,2,FALSE)</f>
        <v>Pooja Nair</v>
      </c>
      <c r="S511">
        <f t="shared" si="7"/>
        <v>0.54298642533936647</v>
      </c>
    </row>
    <row r="512" spans="1:19" x14ac:dyDescent="0.3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  <c r="L512" t="str">
        <f>VLOOKUP(D512,Products!$A:$F,3,FALSE)</f>
        <v>Apparel</v>
      </c>
      <c r="M512" t="b">
        <f>VLOOKUP(D512,Products!$A:$F,6,FALSE)</f>
        <v>1</v>
      </c>
      <c r="N512">
        <f>VLOOKUP(D512,Products!$A:$F,4,FALSE)</f>
        <v>1173</v>
      </c>
      <c r="O512" t="str">
        <f>VLOOKUP(C512,Customers!$A:$F,5,FALSE)</f>
        <v>Retail</v>
      </c>
      <c r="P512">
        <f>VLOOKUP(C512,Customers!$A:$F,3,FALSE)</f>
        <v>54</v>
      </c>
      <c r="Q512" t="str">
        <f>VLOOKUP(E512,Sales_Reps!$A:$E,3,FALSE)</f>
        <v>North</v>
      </c>
      <c r="R512" t="str">
        <f>VLOOKUP(E512,Sales_Reps!$A:$E,2,FALSE)</f>
        <v>Vikram Patel</v>
      </c>
      <c r="S512">
        <f t="shared" si="7"/>
        <v>0.52701612903225803</v>
      </c>
    </row>
    <row r="513" spans="1:19" x14ac:dyDescent="0.3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  <c r="L513" t="str">
        <f>VLOOKUP(D513,Products!$A:$F,3,FALSE)</f>
        <v>Electronics</v>
      </c>
      <c r="M513" t="b">
        <f>VLOOKUP(D513,Products!$A:$F,6,FALSE)</f>
        <v>1</v>
      </c>
      <c r="N513">
        <f>VLOOKUP(D513,Products!$A:$F,4,FALSE)</f>
        <v>2405</v>
      </c>
      <c r="O513" t="str">
        <f>VLOOKUP(C513,Customers!$A:$F,5,FALSE)</f>
        <v>Corporate</v>
      </c>
      <c r="P513">
        <f>VLOOKUP(C513,Customers!$A:$F,3,FALSE)</f>
        <v>46</v>
      </c>
      <c r="Q513" t="str">
        <f>VLOOKUP(E513,Sales_Reps!$A:$E,3,FALSE)</f>
        <v>East</v>
      </c>
      <c r="R513" t="str">
        <f>VLOOKUP(E513,Sales_Reps!$A:$E,2,FALSE)</f>
        <v>Vinod Kumar</v>
      </c>
      <c r="S513">
        <f t="shared" si="7"/>
        <v>0.54878048780487809</v>
      </c>
    </row>
    <row r="514" spans="1:19" x14ac:dyDescent="0.3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  <c r="L514" t="str">
        <f>VLOOKUP(D514,Products!$A:$F,3,FALSE)</f>
        <v>Grocery</v>
      </c>
      <c r="M514" t="b">
        <f>VLOOKUP(D514,Products!$A:$F,6,FALSE)</f>
        <v>1</v>
      </c>
      <c r="N514">
        <f>VLOOKUP(D514,Products!$A:$F,4,FALSE)</f>
        <v>2027</v>
      </c>
      <c r="O514" t="str">
        <f>VLOOKUP(C514,Customers!$A:$F,5,FALSE)</f>
        <v>Retail</v>
      </c>
      <c r="P514">
        <f>VLOOKUP(C514,Customers!$A:$F,3,FALSE)</f>
        <v>65</v>
      </c>
      <c r="Q514" t="str">
        <f>VLOOKUP(E514,Sales_Reps!$A:$E,3,FALSE)</f>
        <v>South</v>
      </c>
      <c r="R514" t="str">
        <f>VLOOKUP(E514,Sales_Reps!$A:$E,2,FALSE)</f>
        <v>Pooja Nair</v>
      </c>
      <c r="S514">
        <f t="shared" si="7"/>
        <v>0.50196560196560192</v>
      </c>
    </row>
    <row r="515" spans="1:19" x14ac:dyDescent="0.3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  <c r="L515" t="str">
        <f>VLOOKUP(D515,Products!$A:$F,3,FALSE)</f>
        <v>Apparel</v>
      </c>
      <c r="M515" t="b">
        <f>VLOOKUP(D515,Products!$A:$F,6,FALSE)</f>
        <v>1</v>
      </c>
      <c r="N515">
        <f>VLOOKUP(D515,Products!$A:$F,4,FALSE)</f>
        <v>1962</v>
      </c>
      <c r="O515" t="str">
        <f>VLOOKUP(C515,Customers!$A:$F,5,FALSE)</f>
        <v>Retail</v>
      </c>
      <c r="P515">
        <f>VLOOKUP(C515,Customers!$A:$F,3,FALSE)</f>
        <v>32</v>
      </c>
      <c r="Q515" t="str">
        <f>VLOOKUP(E515,Sales_Reps!$A:$E,3,FALSE)</f>
        <v>North</v>
      </c>
      <c r="R515" t="str">
        <f>VLOOKUP(E515,Sales_Reps!$A:$E,2,FALSE)</f>
        <v>Rajesh Malhotra</v>
      </c>
      <c r="S515">
        <f t="shared" ref="S515:S578" si="8">IFERROR((G515-N515)/G515,"")</f>
        <v>0.2786764705882353</v>
      </c>
    </row>
    <row r="516" spans="1:19" x14ac:dyDescent="0.3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  <c r="L516" t="str">
        <f>VLOOKUP(D516,Products!$A:$F,3,FALSE)</f>
        <v>Sports</v>
      </c>
      <c r="M516" t="b">
        <f>VLOOKUP(D516,Products!$A:$F,6,FALSE)</f>
        <v>1</v>
      </c>
      <c r="N516">
        <f>VLOOKUP(D516,Products!$A:$F,4,FALSE)</f>
        <v>2028</v>
      </c>
      <c r="O516" t="str">
        <f>VLOOKUP(C516,Customers!$A:$F,5,FALSE)</f>
        <v>Corporate</v>
      </c>
      <c r="P516">
        <f>VLOOKUP(C516,Customers!$A:$F,3,FALSE)</f>
        <v>43</v>
      </c>
      <c r="Q516" t="str">
        <f>VLOOKUP(E516,Sales_Reps!$A:$E,3,FALSE)</f>
        <v>West</v>
      </c>
      <c r="R516" t="str">
        <f>VLOOKUP(E516,Sales_Reps!$A:$E,2,FALSE)</f>
        <v>Arun Iyer</v>
      </c>
      <c r="S516">
        <f t="shared" si="8"/>
        <v>0.29090909090909089</v>
      </c>
    </row>
    <row r="517" spans="1:19" x14ac:dyDescent="0.3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  <c r="L517" t="str">
        <f>VLOOKUP(D517,Products!$A:$F,3,FALSE)</f>
        <v>Apparel</v>
      </c>
      <c r="M517" t="b">
        <f>VLOOKUP(D517,Products!$A:$F,6,FALSE)</f>
        <v>1</v>
      </c>
      <c r="N517">
        <f>VLOOKUP(D517,Products!$A:$F,4,FALSE)</f>
        <v>2509</v>
      </c>
      <c r="O517" t="str">
        <f>VLOOKUP(C517,Customers!$A:$F,5,FALSE)</f>
        <v>Retail</v>
      </c>
      <c r="P517">
        <f>VLOOKUP(C517,Customers!$A:$F,3,FALSE)</f>
        <v>35</v>
      </c>
      <c r="Q517" t="str">
        <f>VLOOKUP(E517,Sales_Reps!$A:$E,3,FALSE)</f>
        <v>South</v>
      </c>
      <c r="R517" t="str">
        <f>VLOOKUP(E517,Sales_Reps!$A:$E,2,FALSE)</f>
        <v>Pooja Nair</v>
      </c>
      <c r="S517">
        <f t="shared" si="8"/>
        <v>0.3069060773480663</v>
      </c>
    </row>
    <row r="518" spans="1:19" x14ac:dyDescent="0.3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  <c r="L518" t="str">
        <f>VLOOKUP(D518,Products!$A:$F,3,FALSE)</f>
        <v>Beauty</v>
      </c>
      <c r="M518" t="b">
        <f>VLOOKUP(D518,Products!$A:$F,6,FALSE)</f>
        <v>1</v>
      </c>
      <c r="N518">
        <f>VLOOKUP(D518,Products!$A:$F,4,FALSE)</f>
        <v>1222</v>
      </c>
      <c r="O518" t="str">
        <f>VLOOKUP(C518,Customers!$A:$F,5,FALSE)</f>
        <v>SMB</v>
      </c>
      <c r="P518">
        <f>VLOOKUP(C518,Customers!$A:$F,3,FALSE)</f>
        <v>46</v>
      </c>
      <c r="Q518" t="str">
        <f>VLOOKUP(E518,Sales_Reps!$A:$E,3,FALSE)</f>
        <v>East</v>
      </c>
      <c r="R518" t="str">
        <f>VLOOKUP(E518,Sales_Reps!$A:$E,2,FALSE)</f>
        <v>Shalini Patel</v>
      </c>
      <c r="S518">
        <f t="shared" si="8"/>
        <v>0.2593939393939394</v>
      </c>
    </row>
    <row r="519" spans="1:19" x14ac:dyDescent="0.3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  <c r="L519" t="str">
        <f>VLOOKUP(D519,Products!$A:$F,3,FALSE)</f>
        <v>Sports</v>
      </c>
      <c r="M519" t="b">
        <f>VLOOKUP(D519,Products!$A:$F,6,FALSE)</f>
        <v>1</v>
      </c>
      <c r="N519">
        <f>VLOOKUP(D519,Products!$A:$F,4,FALSE)</f>
        <v>147</v>
      </c>
      <c r="O519" t="str">
        <f>VLOOKUP(C519,Customers!$A:$F,5,FALSE)</f>
        <v>Retail</v>
      </c>
      <c r="P519">
        <f>VLOOKUP(C519,Customers!$A:$F,3,FALSE)</f>
        <v>25</v>
      </c>
      <c r="Q519" t="str">
        <f>VLOOKUP(E519,Sales_Reps!$A:$E,3,FALSE)</f>
        <v>West</v>
      </c>
      <c r="R519" t="str">
        <f>VLOOKUP(E519,Sales_Reps!$A:$E,2,FALSE)</f>
        <v>Arun Iyer</v>
      </c>
      <c r="S519">
        <f t="shared" si="8"/>
        <v>0.22631578947368422</v>
      </c>
    </row>
    <row r="520" spans="1:19" x14ac:dyDescent="0.3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  <c r="L520" t="str">
        <f>VLOOKUP(D520,Products!$A:$F,3,FALSE)</f>
        <v>Beauty</v>
      </c>
      <c r="M520" t="b">
        <f>VLOOKUP(D520,Products!$A:$F,6,FALSE)</f>
        <v>1</v>
      </c>
      <c r="N520">
        <f>VLOOKUP(D520,Products!$A:$F,4,FALSE)</f>
        <v>1219</v>
      </c>
      <c r="O520" t="str">
        <f>VLOOKUP(C520,Customers!$A:$F,5,FALSE)</f>
        <v>Retail</v>
      </c>
      <c r="P520">
        <f>VLOOKUP(C520,Customers!$A:$F,3,FALSE)</f>
        <v>49</v>
      </c>
      <c r="Q520" t="str">
        <f>VLOOKUP(E520,Sales_Reps!$A:$E,3,FALSE)</f>
        <v>West</v>
      </c>
      <c r="R520" t="str">
        <f>VLOOKUP(E520,Sales_Reps!$A:$E,2,FALSE)</f>
        <v>Arun Iyer</v>
      </c>
      <c r="S520">
        <f t="shared" si="8"/>
        <v>0.46768558951965067</v>
      </c>
    </row>
    <row r="521" spans="1:19" x14ac:dyDescent="0.3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  <c r="L521" t="str">
        <f>VLOOKUP(D521,Products!$A:$F,3,FALSE)</f>
        <v>Electronics</v>
      </c>
      <c r="M521" t="b">
        <f>VLOOKUP(D521,Products!$A:$F,6,FALSE)</f>
        <v>1</v>
      </c>
      <c r="N521">
        <f>VLOOKUP(D521,Products!$A:$F,4,FALSE)</f>
        <v>2405</v>
      </c>
      <c r="O521" t="str">
        <f>VLOOKUP(C521,Customers!$A:$F,5,FALSE)</f>
        <v>SMB</v>
      </c>
      <c r="P521">
        <f>VLOOKUP(C521,Customers!$A:$F,3,FALSE)</f>
        <v>52</v>
      </c>
      <c r="Q521" t="str">
        <f>VLOOKUP(E521,Sales_Reps!$A:$E,3,FALSE)</f>
        <v>East</v>
      </c>
      <c r="R521" t="str">
        <f>VLOOKUP(E521,Sales_Reps!$A:$E,2,FALSE)</f>
        <v>Naveen Singh</v>
      </c>
      <c r="S521">
        <f t="shared" si="8"/>
        <v>0.54878048780487809</v>
      </c>
    </row>
    <row r="522" spans="1:19" x14ac:dyDescent="0.3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  <c r="L522" t="str">
        <f>VLOOKUP(D522,Products!$A:$F,3,FALSE)</f>
        <v>Electronics</v>
      </c>
      <c r="M522" t="b">
        <f>VLOOKUP(D522,Products!$A:$F,6,FALSE)</f>
        <v>1</v>
      </c>
      <c r="N522">
        <f>VLOOKUP(D522,Products!$A:$F,4,FALSE)</f>
        <v>2405</v>
      </c>
      <c r="O522" t="str">
        <f>VLOOKUP(C522,Customers!$A:$F,5,FALSE)</f>
        <v>SMB</v>
      </c>
      <c r="P522">
        <f>VLOOKUP(C522,Customers!$A:$F,3,FALSE)</f>
        <v>65</v>
      </c>
      <c r="Q522" t="str">
        <f>VLOOKUP(E522,Sales_Reps!$A:$E,3,FALSE)</f>
        <v>South</v>
      </c>
      <c r="R522" t="str">
        <f>VLOOKUP(E522,Sales_Reps!$A:$E,2,FALSE)</f>
        <v>Deepak Shah</v>
      </c>
      <c r="S522">
        <f t="shared" si="8"/>
        <v>0.54878048780487809</v>
      </c>
    </row>
    <row r="523" spans="1:19" x14ac:dyDescent="0.3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  <c r="L523" t="str">
        <f>VLOOKUP(D523,Products!$A:$F,3,FALSE)</f>
        <v>Home</v>
      </c>
      <c r="M523" t="b">
        <f>VLOOKUP(D523,Products!$A:$F,6,FALSE)</f>
        <v>1</v>
      </c>
      <c r="N523">
        <f>VLOOKUP(D523,Products!$A:$F,4,FALSE)</f>
        <v>2459</v>
      </c>
      <c r="O523" t="str">
        <f>VLOOKUP(C523,Customers!$A:$F,5,FALSE)</f>
        <v>Retail</v>
      </c>
      <c r="P523">
        <f>VLOOKUP(C523,Customers!$A:$F,3,FALSE)</f>
        <v>38</v>
      </c>
      <c r="Q523" t="str">
        <f>VLOOKUP(E523,Sales_Reps!$A:$E,3,FALSE)</f>
        <v>North</v>
      </c>
      <c r="R523" t="str">
        <f>VLOOKUP(E523,Sales_Reps!$A:$E,2,FALSE)</f>
        <v>Neha Desai</v>
      </c>
      <c r="S523">
        <f t="shared" si="8"/>
        <v>0.51594488188976373</v>
      </c>
    </row>
    <row r="524" spans="1:19" x14ac:dyDescent="0.3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  <c r="L524" t="str">
        <f>VLOOKUP(D524,Products!$A:$F,3,FALSE)</f>
        <v>Home</v>
      </c>
      <c r="M524" t="b">
        <f>VLOOKUP(D524,Products!$A:$F,6,FALSE)</f>
        <v>1</v>
      </c>
      <c r="N524">
        <f>VLOOKUP(D524,Products!$A:$F,4,FALSE)</f>
        <v>288</v>
      </c>
      <c r="O524" t="str">
        <f>VLOOKUP(C524,Customers!$A:$F,5,FALSE)</f>
        <v>SMB</v>
      </c>
      <c r="P524">
        <f>VLOOKUP(C524,Customers!$A:$F,3,FALSE)</f>
        <v>49</v>
      </c>
      <c r="Q524" t="str">
        <f>VLOOKUP(E524,Sales_Reps!$A:$E,3,FALSE)</f>
        <v>North</v>
      </c>
      <c r="R524" t="str">
        <f>VLOOKUP(E524,Sales_Reps!$A:$E,2,FALSE)</f>
        <v>Sunita Malhotra</v>
      </c>
      <c r="S524">
        <f t="shared" si="8"/>
        <v>0.22162162162162163</v>
      </c>
    </row>
    <row r="525" spans="1:19" x14ac:dyDescent="0.3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  <c r="L525" t="str">
        <f>VLOOKUP(D525,Products!$A:$F,3,FALSE)</f>
        <v>Sports</v>
      </c>
      <c r="M525" t="b">
        <f>VLOOKUP(D525,Products!$A:$F,6,FALSE)</f>
        <v>0</v>
      </c>
      <c r="N525">
        <f>VLOOKUP(D525,Products!$A:$F,4,FALSE)</f>
        <v>302</v>
      </c>
      <c r="O525" t="str">
        <f>VLOOKUP(C525,Customers!$A:$F,5,FALSE)</f>
        <v>Retail</v>
      </c>
      <c r="P525">
        <f>VLOOKUP(C525,Customers!$A:$F,3,FALSE)</f>
        <v>31</v>
      </c>
      <c r="Q525" t="str">
        <f>VLOOKUP(E525,Sales_Reps!$A:$E,3,FALSE)</f>
        <v>South</v>
      </c>
      <c r="R525" t="str">
        <f>VLOOKUP(E525,Sales_Reps!$A:$E,2,FALSE)</f>
        <v>Sanjay Kapoor</v>
      </c>
      <c r="S525">
        <f t="shared" si="8"/>
        <v>0.35744680851063831</v>
      </c>
    </row>
    <row r="526" spans="1:19" x14ac:dyDescent="0.3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  <c r="L526" t="str">
        <f>VLOOKUP(D526,Products!$A:$F,3,FALSE)</f>
        <v>Sports</v>
      </c>
      <c r="M526" t="b">
        <f>VLOOKUP(D526,Products!$A:$F,6,FALSE)</f>
        <v>1</v>
      </c>
      <c r="N526">
        <f>VLOOKUP(D526,Products!$A:$F,4,FALSE)</f>
        <v>2265</v>
      </c>
      <c r="O526" t="str">
        <f>VLOOKUP(C526,Customers!$A:$F,5,FALSE)</f>
        <v>SMB</v>
      </c>
      <c r="P526">
        <f>VLOOKUP(C526,Customers!$A:$F,3,FALSE)</f>
        <v>27</v>
      </c>
      <c r="Q526" t="str">
        <f>VLOOKUP(E526,Sales_Reps!$A:$E,3,FALSE)</f>
        <v>West</v>
      </c>
      <c r="R526" t="str">
        <f>VLOOKUP(E526,Sales_Reps!$A:$E,2,FALSE)</f>
        <v>Ramesh Bhatt</v>
      </c>
      <c r="S526">
        <f t="shared" si="8"/>
        <v>0.58133086876155271</v>
      </c>
    </row>
    <row r="527" spans="1:19" x14ac:dyDescent="0.3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  <c r="L527" t="str">
        <f>VLOOKUP(D527,Products!$A:$F,3,FALSE)</f>
        <v>Apparel</v>
      </c>
      <c r="M527" t="b">
        <f>VLOOKUP(D527,Products!$A:$F,6,FALSE)</f>
        <v>1</v>
      </c>
      <c r="N527">
        <f>VLOOKUP(D527,Products!$A:$F,4,FALSE)</f>
        <v>2509</v>
      </c>
      <c r="O527" t="str">
        <f>VLOOKUP(C527,Customers!$A:$F,5,FALSE)</f>
        <v>SMB</v>
      </c>
      <c r="P527">
        <f>VLOOKUP(C527,Customers!$A:$F,3,FALSE)</f>
        <v>31</v>
      </c>
      <c r="Q527" t="str">
        <f>VLOOKUP(E527,Sales_Reps!$A:$E,3,FALSE)</f>
        <v>North</v>
      </c>
      <c r="R527" t="str">
        <f>VLOOKUP(E527,Sales_Reps!$A:$E,2,FALSE)</f>
        <v>Suresh Menon</v>
      </c>
      <c r="S527">
        <f t="shared" si="8"/>
        <v>0.3069060773480663</v>
      </c>
    </row>
    <row r="528" spans="1:19" x14ac:dyDescent="0.3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  <c r="L528" t="str">
        <f>VLOOKUP(D528,Products!$A:$F,3,FALSE)</f>
        <v>Grocery</v>
      </c>
      <c r="M528" t="b">
        <f>VLOOKUP(D528,Products!$A:$F,6,FALSE)</f>
        <v>1</v>
      </c>
      <c r="N528">
        <f>VLOOKUP(D528,Products!$A:$F,4,FALSE)</f>
        <v>1435</v>
      </c>
      <c r="O528" t="str">
        <f>VLOOKUP(C528,Customers!$A:$F,5,FALSE)</f>
        <v>Retail</v>
      </c>
      <c r="P528">
        <f>VLOOKUP(C528,Customers!$A:$F,3,FALSE)</f>
        <v>47</v>
      </c>
      <c r="Q528" t="str">
        <f>VLOOKUP(E528,Sales_Reps!$A:$E,3,FALSE)</f>
        <v>West</v>
      </c>
      <c r="R528" t="str">
        <f>VLOOKUP(E528,Sales_Reps!$A:$E,2,FALSE)</f>
        <v>Kiran Bhatt</v>
      </c>
      <c r="S528">
        <f t="shared" si="8"/>
        <v>0.48007246376811596</v>
      </c>
    </row>
    <row r="529" spans="1:19" x14ac:dyDescent="0.3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  <c r="L529" t="str">
        <f>VLOOKUP(D529,Products!$A:$F,3,FALSE)</f>
        <v>Beauty</v>
      </c>
      <c r="M529" t="b">
        <f>VLOOKUP(D529,Products!$A:$F,6,FALSE)</f>
        <v>1</v>
      </c>
      <c r="N529">
        <f>VLOOKUP(D529,Products!$A:$F,4,FALSE)</f>
        <v>2420</v>
      </c>
      <c r="O529" t="str">
        <f>VLOOKUP(C529,Customers!$A:$F,5,FALSE)</f>
        <v>Retail</v>
      </c>
      <c r="P529">
        <f>VLOOKUP(C529,Customers!$A:$F,3,FALSE)</f>
        <v>40</v>
      </c>
      <c r="Q529" t="str">
        <f>VLOOKUP(E529,Sales_Reps!$A:$E,3,FALSE)</f>
        <v>North</v>
      </c>
      <c r="R529" t="str">
        <f>VLOOKUP(E529,Sales_Reps!$A:$E,2,FALSE)</f>
        <v>Rajesh Malhotra</v>
      </c>
      <c r="S529">
        <f t="shared" si="8"/>
        <v>0.29855072463768118</v>
      </c>
    </row>
    <row r="530" spans="1:19" x14ac:dyDescent="0.3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  <c r="L530" t="str">
        <f>VLOOKUP(D530,Products!$A:$F,3,FALSE)</f>
        <v>Grocery</v>
      </c>
      <c r="M530" t="b">
        <f>VLOOKUP(D530,Products!$A:$F,6,FALSE)</f>
        <v>0</v>
      </c>
      <c r="N530">
        <f>VLOOKUP(D530,Products!$A:$F,4,FALSE)</f>
        <v>2214</v>
      </c>
      <c r="O530" t="str">
        <f>VLOOKUP(C530,Customers!$A:$F,5,FALSE)</f>
        <v>SMB</v>
      </c>
      <c r="P530">
        <f>VLOOKUP(C530,Customers!$A:$F,3,FALSE)</f>
        <v>29</v>
      </c>
      <c r="Q530" t="str">
        <f>VLOOKUP(E530,Sales_Reps!$A:$E,3,FALSE)</f>
        <v>West</v>
      </c>
      <c r="R530" t="str">
        <f>VLOOKUP(E530,Sales_Reps!$A:$E,2,FALSE)</f>
        <v>Preeti Shah</v>
      </c>
      <c r="S530">
        <f t="shared" si="8"/>
        <v>0.39508196721311473</v>
      </c>
    </row>
    <row r="531" spans="1:19" x14ac:dyDescent="0.3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  <c r="L531" t="str">
        <f>VLOOKUP(D531,Products!$A:$F,3,FALSE)</f>
        <v>Electronics</v>
      </c>
      <c r="M531" t="b">
        <f>VLOOKUP(D531,Products!$A:$F,6,FALSE)</f>
        <v>1</v>
      </c>
      <c r="N531">
        <f>VLOOKUP(D531,Products!$A:$F,4,FALSE)</f>
        <v>1665</v>
      </c>
      <c r="O531" t="str">
        <f>VLOOKUP(C531,Customers!$A:$F,5,FALSE)</f>
        <v>Corporate</v>
      </c>
      <c r="P531">
        <f>VLOOKUP(C531,Customers!$A:$F,3,FALSE)</f>
        <v>55</v>
      </c>
      <c r="Q531" t="str">
        <f>VLOOKUP(E531,Sales_Reps!$A:$E,3,FALSE)</f>
        <v>West</v>
      </c>
      <c r="R531" t="str">
        <f>VLOOKUP(E531,Sales_Reps!$A:$E,2,FALSE)</f>
        <v>Preeti Shah</v>
      </c>
      <c r="S531">
        <f t="shared" si="8"/>
        <v>0.53361344537815125</v>
      </c>
    </row>
    <row r="532" spans="1:19" x14ac:dyDescent="0.3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  <c r="L532" t="str">
        <f>VLOOKUP(D532,Products!$A:$F,3,FALSE)</f>
        <v>Home</v>
      </c>
      <c r="M532" t="b">
        <f>VLOOKUP(D532,Products!$A:$F,6,FALSE)</f>
        <v>1</v>
      </c>
      <c r="N532">
        <f>VLOOKUP(D532,Products!$A:$F,4,FALSE)</f>
        <v>464</v>
      </c>
      <c r="O532" t="str">
        <f>VLOOKUP(C532,Customers!$A:$F,5,FALSE)</f>
        <v>Retail</v>
      </c>
      <c r="P532">
        <f>VLOOKUP(C532,Customers!$A:$F,3,FALSE)</f>
        <v>44</v>
      </c>
      <c r="Q532" t="str">
        <f>VLOOKUP(E532,Sales_Reps!$A:$E,3,FALSE)</f>
        <v>South</v>
      </c>
      <c r="R532" t="str">
        <f>VLOOKUP(E532,Sales_Reps!$A:$E,2,FALSE)</f>
        <v>Manoj Patel</v>
      </c>
      <c r="S532">
        <f t="shared" si="8"/>
        <v>0.57431192660550456</v>
      </c>
    </row>
    <row r="533" spans="1:19" x14ac:dyDescent="0.3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  <c r="L533" t="str">
        <f>VLOOKUP(D533,Products!$A:$F,3,FALSE)</f>
        <v>Apparel</v>
      </c>
      <c r="M533" t="b">
        <f>VLOOKUP(D533,Products!$A:$F,6,FALSE)</f>
        <v>1</v>
      </c>
      <c r="N533">
        <f>VLOOKUP(D533,Products!$A:$F,4,FALSE)</f>
        <v>2509</v>
      </c>
      <c r="O533" t="str">
        <f>VLOOKUP(C533,Customers!$A:$F,5,FALSE)</f>
        <v>Retail</v>
      </c>
      <c r="P533">
        <f>VLOOKUP(C533,Customers!$A:$F,3,FALSE)</f>
        <v>29</v>
      </c>
      <c r="Q533" t="str">
        <f>VLOOKUP(E533,Sales_Reps!$A:$E,3,FALSE)</f>
        <v>East</v>
      </c>
      <c r="R533" t="str">
        <f>VLOOKUP(E533,Sales_Reps!$A:$E,2,FALSE)</f>
        <v>Shalini Patel</v>
      </c>
      <c r="S533">
        <f t="shared" si="8"/>
        <v>0.3069060773480663</v>
      </c>
    </row>
    <row r="534" spans="1:19" x14ac:dyDescent="0.3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  <c r="L534" t="str">
        <f>VLOOKUP(D534,Products!$A:$F,3,FALSE)</f>
        <v>Beauty</v>
      </c>
      <c r="M534" t="b">
        <f>VLOOKUP(D534,Products!$A:$F,6,FALSE)</f>
        <v>1</v>
      </c>
      <c r="N534">
        <f>VLOOKUP(D534,Products!$A:$F,4,FALSE)</f>
        <v>2768</v>
      </c>
      <c r="O534" t="str">
        <f>VLOOKUP(C534,Customers!$A:$F,5,FALSE)</f>
        <v>Retail</v>
      </c>
      <c r="P534">
        <f>VLOOKUP(C534,Customers!$A:$F,3,FALSE)</f>
        <v>35</v>
      </c>
      <c r="Q534" t="str">
        <f>VLOOKUP(E534,Sales_Reps!$A:$E,3,FALSE)</f>
        <v>South</v>
      </c>
      <c r="R534" t="str">
        <f>VLOOKUP(E534,Sales_Reps!$A:$E,2,FALSE)</f>
        <v>Divya Rao</v>
      </c>
      <c r="S534">
        <f t="shared" si="8"/>
        <v>0.43278688524590164</v>
      </c>
    </row>
    <row r="535" spans="1:19" x14ac:dyDescent="0.3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  <c r="L535" t="str">
        <f>VLOOKUP(D535,Products!$A:$F,3,FALSE)</f>
        <v>Sports</v>
      </c>
      <c r="M535" t="b">
        <f>VLOOKUP(D535,Products!$A:$F,6,FALSE)</f>
        <v>0</v>
      </c>
      <c r="N535">
        <f>VLOOKUP(D535,Products!$A:$F,4,FALSE)</f>
        <v>302</v>
      </c>
      <c r="O535" t="str">
        <f>VLOOKUP(C535,Customers!$A:$F,5,FALSE)</f>
        <v>Corporate</v>
      </c>
      <c r="P535">
        <f>VLOOKUP(C535,Customers!$A:$F,3,FALSE)</f>
        <v>29</v>
      </c>
      <c r="Q535" t="str">
        <f>VLOOKUP(E535,Sales_Reps!$A:$E,3,FALSE)</f>
        <v>West</v>
      </c>
      <c r="R535" t="str">
        <f>VLOOKUP(E535,Sales_Reps!$A:$E,2,FALSE)</f>
        <v>Preeti Shah</v>
      </c>
      <c r="S535">
        <f t="shared" si="8"/>
        <v>0.35744680851063831</v>
      </c>
    </row>
    <row r="536" spans="1:19" x14ac:dyDescent="0.3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  <c r="L536" t="str">
        <f>VLOOKUP(D536,Products!$A:$F,3,FALSE)</f>
        <v>Beauty</v>
      </c>
      <c r="M536" t="b">
        <f>VLOOKUP(D536,Products!$A:$F,6,FALSE)</f>
        <v>1</v>
      </c>
      <c r="N536">
        <f>VLOOKUP(D536,Products!$A:$F,4,FALSE)</f>
        <v>1219</v>
      </c>
      <c r="O536" t="str">
        <f>VLOOKUP(C536,Customers!$A:$F,5,FALSE)</f>
        <v>Retail</v>
      </c>
      <c r="P536">
        <f>VLOOKUP(C536,Customers!$A:$F,3,FALSE)</f>
        <v>52</v>
      </c>
      <c r="Q536" t="str">
        <f>VLOOKUP(E536,Sales_Reps!$A:$E,3,FALSE)</f>
        <v>East</v>
      </c>
      <c r="R536" t="str">
        <f>VLOOKUP(E536,Sales_Reps!$A:$E,2,FALSE)</f>
        <v>Nisha Menon</v>
      </c>
      <c r="S536">
        <f t="shared" si="8"/>
        <v>0.46768558951965067</v>
      </c>
    </row>
    <row r="537" spans="1:19" x14ac:dyDescent="0.3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  <c r="L537" t="str">
        <f>VLOOKUP(D537,Products!$A:$F,3,FALSE)</f>
        <v>Grocery</v>
      </c>
      <c r="M537" t="b">
        <f>VLOOKUP(D537,Products!$A:$F,6,FALSE)</f>
        <v>1</v>
      </c>
      <c r="N537">
        <f>VLOOKUP(D537,Products!$A:$F,4,FALSE)</f>
        <v>1182</v>
      </c>
      <c r="O537" t="str">
        <f>VLOOKUP(C537,Customers!$A:$F,5,FALSE)</f>
        <v>Corporate</v>
      </c>
      <c r="P537">
        <f>VLOOKUP(C537,Customers!$A:$F,3,FALSE)</f>
        <v>37</v>
      </c>
      <c r="Q537" t="str">
        <f>VLOOKUP(E537,Sales_Reps!$A:$E,3,FALSE)</f>
        <v>South</v>
      </c>
      <c r="R537" t="str">
        <f>VLOOKUP(E537,Sales_Reps!$A:$E,2,FALSE)</f>
        <v>Divya Rao</v>
      </c>
      <c r="S537">
        <f t="shared" si="8"/>
        <v>0.50336134453781511</v>
      </c>
    </row>
    <row r="538" spans="1:19" x14ac:dyDescent="0.3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  <c r="L538" t="str">
        <f>VLOOKUP(D538,Products!$A:$F,3,FALSE)</f>
        <v>Grocery</v>
      </c>
      <c r="M538" t="b">
        <f>VLOOKUP(D538,Products!$A:$F,6,FALSE)</f>
        <v>1</v>
      </c>
      <c r="N538">
        <f>VLOOKUP(D538,Products!$A:$F,4,FALSE)</f>
        <v>1182</v>
      </c>
      <c r="O538" t="str">
        <f>VLOOKUP(C538,Customers!$A:$F,5,FALSE)</f>
        <v>Retail</v>
      </c>
      <c r="P538">
        <f>VLOOKUP(C538,Customers!$A:$F,3,FALSE)</f>
        <v>56</v>
      </c>
      <c r="Q538" t="str">
        <f>VLOOKUP(E538,Sales_Reps!$A:$E,3,FALSE)</f>
        <v>North</v>
      </c>
      <c r="R538" t="str">
        <f>VLOOKUP(E538,Sales_Reps!$A:$E,2,FALSE)</f>
        <v>Kavita Patel</v>
      </c>
      <c r="S538">
        <f t="shared" si="8"/>
        <v>0.50336134453781511</v>
      </c>
    </row>
    <row r="539" spans="1:19" x14ac:dyDescent="0.3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  <c r="L539" t="str">
        <f>VLOOKUP(D539,Products!$A:$F,3,FALSE)</f>
        <v>Sports</v>
      </c>
      <c r="M539" t="b">
        <f>VLOOKUP(D539,Products!$A:$F,6,FALSE)</f>
        <v>1</v>
      </c>
      <c r="N539">
        <f>VLOOKUP(D539,Products!$A:$F,4,FALSE)</f>
        <v>2265</v>
      </c>
      <c r="O539" t="str">
        <f>VLOOKUP(C539,Customers!$A:$F,5,FALSE)</f>
        <v>Corporate</v>
      </c>
      <c r="P539">
        <f>VLOOKUP(C539,Customers!$A:$F,3,FALSE)</f>
        <v>41</v>
      </c>
      <c r="Q539" t="str">
        <f>VLOOKUP(E539,Sales_Reps!$A:$E,3,FALSE)</f>
        <v>South</v>
      </c>
      <c r="R539" t="str">
        <f>VLOOKUP(E539,Sales_Reps!$A:$E,2,FALSE)</f>
        <v>Ritu Menon</v>
      </c>
      <c r="S539">
        <f t="shared" si="8"/>
        <v>0.58133086876155271</v>
      </c>
    </row>
    <row r="540" spans="1:19" x14ac:dyDescent="0.3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  <c r="L540" t="str">
        <f>VLOOKUP(D540,Products!$A:$F,3,FALSE)</f>
        <v>Electronics</v>
      </c>
      <c r="M540" t="b">
        <f>VLOOKUP(D540,Products!$A:$F,6,FALSE)</f>
        <v>1</v>
      </c>
      <c r="N540">
        <f>VLOOKUP(D540,Products!$A:$F,4,FALSE)</f>
        <v>861</v>
      </c>
      <c r="O540" t="str">
        <f>VLOOKUP(C540,Customers!$A:$F,5,FALSE)</f>
        <v>SMB</v>
      </c>
      <c r="P540">
        <f>VLOOKUP(C540,Customers!$A:$F,3,FALSE)</f>
        <v>36</v>
      </c>
      <c r="Q540" t="str">
        <f>VLOOKUP(E540,Sales_Reps!$A:$E,3,FALSE)</f>
        <v>North</v>
      </c>
      <c r="R540" t="str">
        <f>VLOOKUP(E540,Sales_Reps!$A:$E,2,FALSE)</f>
        <v>Kavita Patel</v>
      </c>
      <c r="S540">
        <f t="shared" si="8"/>
        <v>0.39790209790209791</v>
      </c>
    </row>
    <row r="541" spans="1:19" x14ac:dyDescent="0.3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  <c r="L541" t="str">
        <f>VLOOKUP(D541,Products!$A:$F,3,FALSE)</f>
        <v>Sports</v>
      </c>
      <c r="M541" t="b">
        <f>VLOOKUP(D541,Products!$A:$F,6,FALSE)</f>
        <v>1</v>
      </c>
      <c r="N541">
        <f>VLOOKUP(D541,Products!$A:$F,4,FALSE)</f>
        <v>974</v>
      </c>
      <c r="O541" t="str">
        <f>VLOOKUP(C541,Customers!$A:$F,5,FALSE)</f>
        <v>Retail</v>
      </c>
      <c r="P541">
        <f>VLOOKUP(C541,Customers!$A:$F,3,FALSE)</f>
        <v>47</v>
      </c>
      <c r="Q541" t="str">
        <f>VLOOKUP(E541,Sales_Reps!$A:$E,3,FALSE)</f>
        <v>West</v>
      </c>
      <c r="R541" t="str">
        <f>VLOOKUP(E541,Sales_Reps!$A:$E,2,FALSE)</f>
        <v>Ramesh Bhatt</v>
      </c>
      <c r="S541">
        <f t="shared" si="8"/>
        <v>0.59416666666666662</v>
      </c>
    </row>
    <row r="542" spans="1:19" x14ac:dyDescent="0.3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  <c r="L542" t="str">
        <f>VLOOKUP(D542,Products!$A:$F,3,FALSE)</f>
        <v>Grocery</v>
      </c>
      <c r="M542" t="b">
        <f>VLOOKUP(D542,Products!$A:$F,6,FALSE)</f>
        <v>1</v>
      </c>
      <c r="N542">
        <f>VLOOKUP(D542,Products!$A:$F,4,FALSE)</f>
        <v>2436</v>
      </c>
      <c r="O542" t="str">
        <f>VLOOKUP(C542,Customers!$A:$F,5,FALSE)</f>
        <v>Corporate</v>
      </c>
      <c r="P542">
        <f>VLOOKUP(C542,Customers!$A:$F,3,FALSE)</f>
        <v>52</v>
      </c>
      <c r="Q542" t="str">
        <f>VLOOKUP(E542,Sales_Reps!$A:$E,3,FALSE)</f>
        <v>North</v>
      </c>
      <c r="R542" t="str">
        <f>VLOOKUP(E542,Sales_Reps!$A:$E,2,FALSE)</f>
        <v>Rajesh Malhotra</v>
      </c>
      <c r="S542">
        <f t="shared" si="8"/>
        <v>0.35555555555555557</v>
      </c>
    </row>
    <row r="543" spans="1:19" x14ac:dyDescent="0.3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  <c r="L543" t="str">
        <f>VLOOKUP(D543,Products!$A:$F,3,FALSE)</f>
        <v>Apparel</v>
      </c>
      <c r="M543" t="b">
        <f>VLOOKUP(D543,Products!$A:$F,6,FALSE)</f>
        <v>1</v>
      </c>
      <c r="N543">
        <f>VLOOKUP(D543,Products!$A:$F,4,FALSE)</f>
        <v>396</v>
      </c>
      <c r="O543" t="str">
        <f>VLOOKUP(C543,Customers!$A:$F,5,FALSE)</f>
        <v>Corporate</v>
      </c>
      <c r="P543">
        <f>VLOOKUP(C543,Customers!$A:$F,3,FALSE)</f>
        <v>62</v>
      </c>
      <c r="Q543" t="str">
        <f>VLOOKUP(E543,Sales_Reps!$A:$E,3,FALSE)</f>
        <v>East</v>
      </c>
      <c r="R543" t="str">
        <f>VLOOKUP(E543,Sales_Reps!$A:$E,2,FALSE)</f>
        <v>Prakash Shah</v>
      </c>
      <c r="S543">
        <f t="shared" si="8"/>
        <v>0.36129032258064514</v>
      </c>
    </row>
    <row r="544" spans="1:19" x14ac:dyDescent="0.3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  <c r="L544" t="str">
        <f>VLOOKUP(D544,Products!$A:$F,3,FALSE)</f>
        <v>Sports</v>
      </c>
      <c r="M544" t="b">
        <f>VLOOKUP(D544,Products!$A:$F,6,FALSE)</f>
        <v>1</v>
      </c>
      <c r="N544">
        <f>VLOOKUP(D544,Products!$A:$F,4,FALSE)</f>
        <v>147</v>
      </c>
      <c r="O544" t="str">
        <f>VLOOKUP(C544,Customers!$A:$F,5,FALSE)</f>
        <v>Retail</v>
      </c>
      <c r="P544">
        <f>VLOOKUP(C544,Customers!$A:$F,3,FALSE)</f>
        <v>43</v>
      </c>
      <c r="Q544" t="str">
        <f>VLOOKUP(E544,Sales_Reps!$A:$E,3,FALSE)</f>
        <v>North</v>
      </c>
      <c r="R544" t="str">
        <f>VLOOKUP(E544,Sales_Reps!$A:$E,2,FALSE)</f>
        <v>Suresh Menon</v>
      </c>
      <c r="S544">
        <f t="shared" si="8"/>
        <v>0.22631578947368422</v>
      </c>
    </row>
    <row r="545" spans="1:19" x14ac:dyDescent="0.3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  <c r="L545" t="str">
        <f>VLOOKUP(D545,Products!$A:$F,3,FALSE)</f>
        <v>Apparel</v>
      </c>
      <c r="M545" t="b">
        <f>VLOOKUP(D545,Products!$A:$F,6,FALSE)</f>
        <v>1</v>
      </c>
      <c r="N545">
        <f>VLOOKUP(D545,Products!$A:$F,4,FALSE)</f>
        <v>2509</v>
      </c>
      <c r="O545" t="str">
        <f>VLOOKUP(C545,Customers!$A:$F,5,FALSE)</f>
        <v>Retail</v>
      </c>
      <c r="P545">
        <f>VLOOKUP(C545,Customers!$A:$F,3,FALSE)</f>
        <v>61</v>
      </c>
      <c r="Q545" t="str">
        <f>VLOOKUP(E545,Sales_Reps!$A:$E,3,FALSE)</f>
        <v>East</v>
      </c>
      <c r="R545" t="str">
        <f>VLOOKUP(E545,Sales_Reps!$A:$E,2,FALSE)</f>
        <v>Prakash Shah</v>
      </c>
      <c r="S545">
        <f t="shared" si="8"/>
        <v>0.3069060773480663</v>
      </c>
    </row>
    <row r="546" spans="1:19" x14ac:dyDescent="0.3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  <c r="L546" t="str">
        <f>VLOOKUP(D546,Products!$A:$F,3,FALSE)</f>
        <v>Sports</v>
      </c>
      <c r="M546" t="b">
        <f>VLOOKUP(D546,Products!$A:$F,6,FALSE)</f>
        <v>1</v>
      </c>
      <c r="N546">
        <f>VLOOKUP(D546,Products!$A:$F,4,FALSE)</f>
        <v>2028</v>
      </c>
      <c r="O546" t="str">
        <f>VLOOKUP(C546,Customers!$A:$F,5,FALSE)</f>
        <v>Corporate</v>
      </c>
      <c r="P546">
        <f>VLOOKUP(C546,Customers!$A:$F,3,FALSE)</f>
        <v>56</v>
      </c>
      <c r="Q546" t="str">
        <f>VLOOKUP(E546,Sales_Reps!$A:$E,3,FALSE)</f>
        <v>East</v>
      </c>
      <c r="R546" t="str">
        <f>VLOOKUP(E546,Sales_Reps!$A:$E,2,FALSE)</f>
        <v>Shalini Patel</v>
      </c>
      <c r="S546">
        <f t="shared" si="8"/>
        <v>0.29090909090909089</v>
      </c>
    </row>
    <row r="547" spans="1:19" x14ac:dyDescent="0.3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  <c r="L547" t="str">
        <f>VLOOKUP(D547,Products!$A:$F,3,FALSE)</f>
        <v>Sports</v>
      </c>
      <c r="M547" t="b">
        <f>VLOOKUP(D547,Products!$A:$F,6,FALSE)</f>
        <v>1</v>
      </c>
      <c r="N547">
        <f>VLOOKUP(D547,Products!$A:$F,4,FALSE)</f>
        <v>974</v>
      </c>
      <c r="O547" t="str">
        <f>VLOOKUP(C547,Customers!$A:$F,5,FALSE)</f>
        <v>Retail</v>
      </c>
      <c r="P547">
        <f>VLOOKUP(C547,Customers!$A:$F,3,FALSE)</f>
        <v>55</v>
      </c>
      <c r="Q547" t="str">
        <f>VLOOKUP(E547,Sales_Reps!$A:$E,3,FALSE)</f>
        <v>East</v>
      </c>
      <c r="R547" t="str">
        <f>VLOOKUP(E547,Sales_Reps!$A:$E,2,FALSE)</f>
        <v>Vinod Kumar</v>
      </c>
      <c r="S547">
        <f t="shared" si="8"/>
        <v>0.59416666666666662</v>
      </c>
    </row>
    <row r="548" spans="1:19" x14ac:dyDescent="0.3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  <c r="L548" t="str">
        <f>VLOOKUP(D548,Products!$A:$F,3,FALSE)</f>
        <v>Home</v>
      </c>
      <c r="M548" t="b">
        <f>VLOOKUP(D548,Products!$A:$F,6,FALSE)</f>
        <v>1</v>
      </c>
      <c r="N548">
        <f>VLOOKUP(D548,Products!$A:$F,4,FALSE)</f>
        <v>2459</v>
      </c>
      <c r="O548" t="str">
        <f>VLOOKUP(C548,Customers!$A:$F,5,FALSE)</f>
        <v>SMB</v>
      </c>
      <c r="P548">
        <f>VLOOKUP(C548,Customers!$A:$F,3,FALSE)</f>
        <v>42</v>
      </c>
      <c r="Q548" t="str">
        <f>VLOOKUP(E548,Sales_Reps!$A:$E,3,FALSE)</f>
        <v>South</v>
      </c>
      <c r="R548" t="str">
        <f>VLOOKUP(E548,Sales_Reps!$A:$E,2,FALSE)</f>
        <v>Manoj Patel</v>
      </c>
      <c r="S548">
        <f t="shared" si="8"/>
        <v>0.51594488188976373</v>
      </c>
    </row>
    <row r="549" spans="1:19" x14ac:dyDescent="0.3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  <c r="L549" t="str">
        <f>VLOOKUP(D549,Products!$A:$F,3,FALSE)</f>
        <v>Home</v>
      </c>
      <c r="M549" t="b">
        <f>VLOOKUP(D549,Products!$A:$F,6,FALSE)</f>
        <v>1</v>
      </c>
      <c r="N549">
        <f>VLOOKUP(D549,Products!$A:$F,4,FALSE)</f>
        <v>2459</v>
      </c>
      <c r="O549" t="str">
        <f>VLOOKUP(C549,Customers!$A:$F,5,FALSE)</f>
        <v>Corporate</v>
      </c>
      <c r="P549">
        <f>VLOOKUP(C549,Customers!$A:$F,3,FALSE)</f>
        <v>32</v>
      </c>
      <c r="Q549" t="str">
        <f>VLOOKUP(E549,Sales_Reps!$A:$E,3,FALSE)</f>
        <v>South</v>
      </c>
      <c r="R549" t="str">
        <f>VLOOKUP(E549,Sales_Reps!$A:$E,2,FALSE)</f>
        <v>Deepak Shah</v>
      </c>
      <c r="S549">
        <f t="shared" si="8"/>
        <v>0.51594488188976373</v>
      </c>
    </row>
    <row r="550" spans="1:19" x14ac:dyDescent="0.3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  <c r="L550" t="str">
        <f>VLOOKUP(D550,Products!$A:$F,3,FALSE)</f>
        <v>Sports</v>
      </c>
      <c r="M550" t="b">
        <f>VLOOKUP(D550,Products!$A:$F,6,FALSE)</f>
        <v>1</v>
      </c>
      <c r="N550">
        <f>VLOOKUP(D550,Products!$A:$F,4,FALSE)</f>
        <v>705</v>
      </c>
      <c r="O550" t="str">
        <f>VLOOKUP(C550,Customers!$A:$F,5,FALSE)</f>
        <v>SMB</v>
      </c>
      <c r="P550">
        <f>VLOOKUP(C550,Customers!$A:$F,3,FALSE)</f>
        <v>65</v>
      </c>
      <c r="Q550" t="str">
        <f>VLOOKUP(E550,Sales_Reps!$A:$E,3,FALSE)</f>
        <v>North</v>
      </c>
      <c r="R550" t="str">
        <f>VLOOKUP(E550,Sales_Reps!$A:$E,2,FALSE)</f>
        <v>Kavita Patel</v>
      </c>
      <c r="S550">
        <f t="shared" si="8"/>
        <v>0.265625</v>
      </c>
    </row>
    <row r="551" spans="1:19" x14ac:dyDescent="0.3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  <c r="L551" t="str">
        <f>VLOOKUP(D551,Products!$A:$F,3,FALSE)</f>
        <v>Grocery</v>
      </c>
      <c r="M551" t="b">
        <f>VLOOKUP(D551,Products!$A:$F,6,FALSE)</f>
        <v>0</v>
      </c>
      <c r="N551">
        <f>VLOOKUP(D551,Products!$A:$F,4,FALSE)</f>
        <v>2214</v>
      </c>
      <c r="O551" t="str">
        <f>VLOOKUP(C551,Customers!$A:$F,5,FALSE)</f>
        <v>Corporate</v>
      </c>
      <c r="P551">
        <f>VLOOKUP(C551,Customers!$A:$F,3,FALSE)</f>
        <v>55</v>
      </c>
      <c r="Q551" t="str">
        <f>VLOOKUP(E551,Sales_Reps!$A:$E,3,FALSE)</f>
        <v>West</v>
      </c>
      <c r="R551" t="str">
        <f>VLOOKUP(E551,Sales_Reps!$A:$E,2,FALSE)</f>
        <v>Preeti Shah</v>
      </c>
      <c r="S551">
        <f t="shared" si="8"/>
        <v>0.39508196721311473</v>
      </c>
    </row>
    <row r="552" spans="1:19" x14ac:dyDescent="0.3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  <c r="L552" t="str">
        <f>VLOOKUP(D552,Products!$A:$F,3,FALSE)</f>
        <v>Electronics</v>
      </c>
      <c r="M552" t="b">
        <f>VLOOKUP(D552,Products!$A:$F,6,FALSE)</f>
        <v>1</v>
      </c>
      <c r="N552">
        <f>VLOOKUP(D552,Products!$A:$F,4,FALSE)</f>
        <v>1149</v>
      </c>
      <c r="O552" t="str">
        <f>VLOOKUP(C552,Customers!$A:$F,5,FALSE)</f>
        <v>Corporate</v>
      </c>
      <c r="P552">
        <f>VLOOKUP(C552,Customers!$A:$F,3,FALSE)</f>
        <v>47</v>
      </c>
      <c r="Q552" t="str">
        <f>VLOOKUP(E552,Sales_Reps!$A:$E,3,FALSE)</f>
        <v>South</v>
      </c>
      <c r="R552" t="str">
        <f>VLOOKUP(E552,Sales_Reps!$A:$E,2,FALSE)</f>
        <v>Manoj Patel</v>
      </c>
      <c r="S552">
        <f t="shared" si="8"/>
        <v>0.56477272727272732</v>
      </c>
    </row>
    <row r="553" spans="1:19" x14ac:dyDescent="0.3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  <c r="L553" t="str">
        <f>VLOOKUP(D553,Products!$A:$F,3,FALSE)</f>
        <v>Electronics</v>
      </c>
      <c r="M553" t="b">
        <f>VLOOKUP(D553,Products!$A:$F,6,FALSE)</f>
        <v>1</v>
      </c>
      <c r="N553">
        <f>VLOOKUP(D553,Products!$A:$F,4,FALSE)</f>
        <v>517</v>
      </c>
      <c r="O553" t="str">
        <f>VLOOKUP(C553,Customers!$A:$F,5,FALSE)</f>
        <v>SMB</v>
      </c>
      <c r="P553">
        <f>VLOOKUP(C553,Customers!$A:$F,3,FALSE)</f>
        <v>64</v>
      </c>
      <c r="Q553" t="str">
        <f>VLOOKUP(E553,Sales_Reps!$A:$E,3,FALSE)</f>
        <v>South</v>
      </c>
      <c r="R553" t="str">
        <f>VLOOKUP(E553,Sales_Reps!$A:$E,2,FALSE)</f>
        <v>Manoj Patel</v>
      </c>
      <c r="S553">
        <f t="shared" si="8"/>
        <v>0.57622950819672136</v>
      </c>
    </row>
    <row r="554" spans="1:19" x14ac:dyDescent="0.3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  <c r="L554" t="str">
        <f>VLOOKUP(D554,Products!$A:$F,3,FALSE)</f>
        <v>Electronics</v>
      </c>
      <c r="M554" t="b">
        <f>VLOOKUP(D554,Products!$A:$F,6,FALSE)</f>
        <v>1</v>
      </c>
      <c r="N554">
        <f>VLOOKUP(D554,Products!$A:$F,4,FALSE)</f>
        <v>128</v>
      </c>
      <c r="O554" t="str">
        <f>VLOOKUP(C554,Customers!$A:$F,5,FALSE)</f>
        <v>Retail</v>
      </c>
      <c r="P554">
        <f>VLOOKUP(C554,Customers!$A:$F,3,FALSE)</f>
        <v>27</v>
      </c>
      <c r="Q554" t="str">
        <f>VLOOKUP(E554,Sales_Reps!$A:$E,3,FALSE)</f>
        <v>South</v>
      </c>
      <c r="R554" t="str">
        <f>VLOOKUP(E554,Sales_Reps!$A:$E,2,FALSE)</f>
        <v>Sanjay Kapoor</v>
      </c>
      <c r="S554">
        <f t="shared" si="8"/>
        <v>0.57333333333333336</v>
      </c>
    </row>
    <row r="555" spans="1:19" x14ac:dyDescent="0.3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  <c r="L555" t="str">
        <f>VLOOKUP(D555,Products!$A:$F,3,FALSE)</f>
        <v>Sports</v>
      </c>
      <c r="M555" t="b">
        <f>VLOOKUP(D555,Products!$A:$F,6,FALSE)</f>
        <v>1</v>
      </c>
      <c r="N555">
        <f>VLOOKUP(D555,Products!$A:$F,4,FALSE)</f>
        <v>516</v>
      </c>
      <c r="O555" t="str">
        <f>VLOOKUP(C555,Customers!$A:$F,5,FALSE)</f>
        <v>Retail</v>
      </c>
      <c r="P555">
        <f>VLOOKUP(C555,Customers!$A:$F,3,FALSE)</f>
        <v>65</v>
      </c>
      <c r="Q555" t="str">
        <f>VLOOKUP(E555,Sales_Reps!$A:$E,3,FALSE)</f>
        <v>East</v>
      </c>
      <c r="R555" t="str">
        <f>VLOOKUP(E555,Sales_Reps!$A:$E,2,FALSE)</f>
        <v>Meera Iyer</v>
      </c>
      <c r="S555">
        <f t="shared" si="8"/>
        <v>0.4891089108910891</v>
      </c>
    </row>
    <row r="556" spans="1:19" x14ac:dyDescent="0.3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  <c r="L556" t="str">
        <f>VLOOKUP(D556,Products!$A:$F,3,FALSE)</f>
        <v>Electronics</v>
      </c>
      <c r="M556" t="b">
        <f>VLOOKUP(D556,Products!$A:$F,6,FALSE)</f>
        <v>1</v>
      </c>
      <c r="N556">
        <f>VLOOKUP(D556,Products!$A:$F,4,FALSE)</f>
        <v>1052</v>
      </c>
      <c r="O556" t="str">
        <f>VLOOKUP(C556,Customers!$A:$F,5,FALSE)</f>
        <v>SMB</v>
      </c>
      <c r="P556">
        <f>VLOOKUP(C556,Customers!$A:$F,3,FALSE)</f>
        <v>45</v>
      </c>
      <c r="Q556" t="str">
        <f>VLOOKUP(E556,Sales_Reps!$A:$E,3,FALSE)</f>
        <v>South</v>
      </c>
      <c r="R556" t="str">
        <f>VLOOKUP(E556,Sales_Reps!$A:$E,2,FALSE)</f>
        <v>Anil Verma</v>
      </c>
      <c r="S556">
        <f t="shared" si="8"/>
        <v>0.5953846153846154</v>
      </c>
    </row>
    <row r="557" spans="1:19" x14ac:dyDescent="0.3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  <c r="L557" t="str">
        <f>VLOOKUP(D557,Products!$A:$F,3,FALSE)</f>
        <v>Sports</v>
      </c>
      <c r="M557" t="b">
        <f>VLOOKUP(D557,Products!$A:$F,6,FALSE)</f>
        <v>1</v>
      </c>
      <c r="N557">
        <f>VLOOKUP(D557,Products!$A:$F,4,FALSE)</f>
        <v>2827</v>
      </c>
      <c r="O557" t="str">
        <f>VLOOKUP(C557,Customers!$A:$F,5,FALSE)</f>
        <v>Retail</v>
      </c>
      <c r="P557">
        <f>VLOOKUP(C557,Customers!$A:$F,3,FALSE)</f>
        <v>37</v>
      </c>
      <c r="Q557" t="str">
        <f>VLOOKUP(E557,Sales_Reps!$A:$E,3,FALSE)</f>
        <v>West</v>
      </c>
      <c r="R557" t="str">
        <f>VLOOKUP(E557,Sales_Reps!$A:$E,2,FALSE)</f>
        <v>Sonia Malhotra</v>
      </c>
      <c r="S557">
        <f t="shared" si="8"/>
        <v>0.5926512968299712</v>
      </c>
    </row>
    <row r="558" spans="1:19" x14ac:dyDescent="0.3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  <c r="L558" t="str">
        <f>VLOOKUP(D558,Products!$A:$F,3,FALSE)</f>
        <v>Home</v>
      </c>
      <c r="M558" t="b">
        <f>VLOOKUP(D558,Products!$A:$F,6,FALSE)</f>
        <v>1</v>
      </c>
      <c r="N558">
        <f>VLOOKUP(D558,Products!$A:$F,4,FALSE)</f>
        <v>288</v>
      </c>
      <c r="O558" t="str">
        <f>VLOOKUP(C558,Customers!$A:$F,5,FALSE)</f>
        <v>SMB</v>
      </c>
      <c r="P558">
        <f>VLOOKUP(C558,Customers!$A:$F,3,FALSE)</f>
        <v>44</v>
      </c>
      <c r="Q558" t="str">
        <f>VLOOKUP(E558,Sales_Reps!$A:$E,3,FALSE)</f>
        <v>South</v>
      </c>
      <c r="R558" t="str">
        <f>VLOOKUP(E558,Sales_Reps!$A:$E,2,FALSE)</f>
        <v>Anil Verma</v>
      </c>
      <c r="S558">
        <f t="shared" si="8"/>
        <v>0.22162162162162163</v>
      </c>
    </row>
    <row r="559" spans="1:19" x14ac:dyDescent="0.3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  <c r="L559" t="str">
        <f>VLOOKUP(D559,Products!$A:$F,3,FALSE)</f>
        <v>Grocery</v>
      </c>
      <c r="M559" t="b">
        <f>VLOOKUP(D559,Products!$A:$F,6,FALSE)</f>
        <v>1</v>
      </c>
      <c r="N559">
        <f>VLOOKUP(D559,Products!$A:$F,4,FALSE)</f>
        <v>2436</v>
      </c>
      <c r="O559" t="str">
        <f>VLOOKUP(C559,Customers!$A:$F,5,FALSE)</f>
        <v>Retail</v>
      </c>
      <c r="P559">
        <f>VLOOKUP(C559,Customers!$A:$F,3,FALSE)</f>
        <v>39</v>
      </c>
      <c r="Q559" t="str">
        <f>VLOOKUP(E559,Sales_Reps!$A:$E,3,FALSE)</f>
        <v>West</v>
      </c>
      <c r="R559" t="str">
        <f>VLOOKUP(E559,Sales_Reps!$A:$E,2,FALSE)</f>
        <v>Arun Iyer</v>
      </c>
      <c r="S559">
        <f t="shared" si="8"/>
        <v>0.35555555555555557</v>
      </c>
    </row>
    <row r="560" spans="1:19" x14ac:dyDescent="0.3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  <c r="L560" t="str">
        <f>VLOOKUP(D560,Products!$A:$F,3,FALSE)</f>
        <v>Grocery</v>
      </c>
      <c r="M560" t="b">
        <f>VLOOKUP(D560,Products!$A:$F,6,FALSE)</f>
        <v>1</v>
      </c>
      <c r="N560">
        <f>VLOOKUP(D560,Products!$A:$F,4,FALSE)</f>
        <v>434</v>
      </c>
      <c r="O560" t="str">
        <f>VLOOKUP(C560,Customers!$A:$F,5,FALSE)</f>
        <v>SMB</v>
      </c>
      <c r="P560">
        <f>VLOOKUP(C560,Customers!$A:$F,3,FALSE)</f>
        <v>49</v>
      </c>
      <c r="Q560" t="str">
        <f>VLOOKUP(E560,Sales_Reps!$A:$E,3,FALSE)</f>
        <v>East</v>
      </c>
      <c r="R560" t="str">
        <f>VLOOKUP(E560,Sales_Reps!$A:$E,2,FALSE)</f>
        <v>Nisha Menon</v>
      </c>
      <c r="S560">
        <f t="shared" si="8"/>
        <v>0.5525773195876289</v>
      </c>
    </row>
    <row r="561" spans="1:19" x14ac:dyDescent="0.3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  <c r="L561" t="str">
        <f>VLOOKUP(D561,Products!$A:$F,3,FALSE)</f>
        <v>Grocery</v>
      </c>
      <c r="M561" t="b">
        <f>VLOOKUP(D561,Products!$A:$F,6,FALSE)</f>
        <v>1</v>
      </c>
      <c r="N561">
        <f>VLOOKUP(D561,Products!$A:$F,4,FALSE)</f>
        <v>1412</v>
      </c>
      <c r="O561" t="str">
        <f>VLOOKUP(C561,Customers!$A:$F,5,FALSE)</f>
        <v>Retail</v>
      </c>
      <c r="P561">
        <f>VLOOKUP(C561,Customers!$A:$F,3,FALSE)</f>
        <v>31</v>
      </c>
      <c r="Q561" t="str">
        <f>VLOOKUP(E561,Sales_Reps!$A:$E,3,FALSE)</f>
        <v>North</v>
      </c>
      <c r="R561" t="str">
        <f>VLOOKUP(E561,Sales_Reps!$A:$E,2,FALSE)</f>
        <v>Sunita Malhotra</v>
      </c>
      <c r="S561">
        <f t="shared" si="8"/>
        <v>0.37797356828193834</v>
      </c>
    </row>
    <row r="562" spans="1:19" x14ac:dyDescent="0.3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  <c r="L562" t="str">
        <f>VLOOKUP(D562,Products!$A:$F,3,FALSE)</f>
        <v>Beauty</v>
      </c>
      <c r="M562" t="b">
        <f>VLOOKUP(D562,Products!$A:$F,6,FALSE)</f>
        <v>0</v>
      </c>
      <c r="N562">
        <f>VLOOKUP(D562,Products!$A:$F,4,FALSE)</f>
        <v>647</v>
      </c>
      <c r="O562" t="str">
        <f>VLOOKUP(C562,Customers!$A:$F,5,FALSE)</f>
        <v>SMB</v>
      </c>
      <c r="P562">
        <f>VLOOKUP(C562,Customers!$A:$F,3,FALSE)</f>
        <v>46</v>
      </c>
      <c r="Q562" t="str">
        <f>VLOOKUP(E562,Sales_Reps!$A:$E,3,FALSE)</f>
        <v>West</v>
      </c>
      <c r="R562" t="str">
        <f>VLOOKUP(E562,Sales_Reps!$A:$E,2,FALSE)</f>
        <v>Arun Iyer</v>
      </c>
      <c r="S562">
        <f t="shared" si="8"/>
        <v>0.57987012987012987</v>
      </c>
    </row>
    <row r="563" spans="1:19" x14ac:dyDescent="0.3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  <c r="L563" t="str">
        <f>VLOOKUP(D563,Products!$A:$F,3,FALSE)</f>
        <v>Grocery</v>
      </c>
      <c r="M563" t="b">
        <f>VLOOKUP(D563,Products!$A:$F,6,FALSE)</f>
        <v>1</v>
      </c>
      <c r="N563">
        <f>VLOOKUP(D563,Products!$A:$F,4,FALSE)</f>
        <v>1435</v>
      </c>
      <c r="O563" t="str">
        <f>VLOOKUP(C563,Customers!$A:$F,5,FALSE)</f>
        <v>Retail</v>
      </c>
      <c r="P563">
        <f>VLOOKUP(C563,Customers!$A:$F,3,FALSE)</f>
        <v>36</v>
      </c>
      <c r="Q563" t="str">
        <f>VLOOKUP(E563,Sales_Reps!$A:$E,3,FALSE)</f>
        <v>East</v>
      </c>
      <c r="R563" t="str">
        <f>VLOOKUP(E563,Sales_Reps!$A:$E,2,FALSE)</f>
        <v>Naveen Singh</v>
      </c>
      <c r="S563">
        <f t="shared" si="8"/>
        <v>0.48007246376811596</v>
      </c>
    </row>
    <row r="564" spans="1:19" x14ac:dyDescent="0.3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  <c r="L564" t="str">
        <f>VLOOKUP(D564,Products!$A:$F,3,FALSE)</f>
        <v>Grocery</v>
      </c>
      <c r="M564" t="b">
        <f>VLOOKUP(D564,Products!$A:$F,6,FALSE)</f>
        <v>1</v>
      </c>
      <c r="N564">
        <f>VLOOKUP(D564,Products!$A:$F,4,FALSE)</f>
        <v>1203</v>
      </c>
      <c r="O564" t="str">
        <f>VLOOKUP(C564,Customers!$A:$F,5,FALSE)</f>
        <v>Retail</v>
      </c>
      <c r="P564">
        <f>VLOOKUP(C564,Customers!$A:$F,3,FALSE)</f>
        <v>23</v>
      </c>
      <c r="Q564" t="str">
        <f>VLOOKUP(E564,Sales_Reps!$A:$E,3,FALSE)</f>
        <v>West</v>
      </c>
      <c r="R564" t="str">
        <f>VLOOKUP(E564,Sales_Reps!$A:$E,2,FALSE)</f>
        <v>Kiran Bhatt</v>
      </c>
      <c r="S564">
        <f t="shared" si="8"/>
        <v>0.47004405286343615</v>
      </c>
    </row>
    <row r="565" spans="1:19" x14ac:dyDescent="0.3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  <c r="L565" t="str">
        <f>VLOOKUP(D565,Products!$A:$F,3,FALSE)</f>
        <v>Beauty</v>
      </c>
      <c r="M565" t="b">
        <f>VLOOKUP(D565,Products!$A:$F,6,FALSE)</f>
        <v>1</v>
      </c>
      <c r="N565">
        <f>VLOOKUP(D565,Products!$A:$F,4,FALSE)</f>
        <v>1626</v>
      </c>
      <c r="O565" t="str">
        <f>VLOOKUP(C565,Customers!$A:$F,5,FALSE)</f>
        <v>Corporate</v>
      </c>
      <c r="P565">
        <f>VLOOKUP(C565,Customers!$A:$F,3,FALSE)</f>
        <v>41</v>
      </c>
      <c r="Q565" t="str">
        <f>VLOOKUP(E565,Sales_Reps!$A:$E,3,FALSE)</f>
        <v>South</v>
      </c>
      <c r="R565" t="str">
        <f>VLOOKUP(E565,Sales_Reps!$A:$E,2,FALSE)</f>
        <v>Deepak Shah</v>
      </c>
      <c r="S565">
        <f t="shared" si="8"/>
        <v>0.46158940397350995</v>
      </c>
    </row>
    <row r="566" spans="1:19" x14ac:dyDescent="0.3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  <c r="L566" t="str">
        <f>VLOOKUP(D566,Products!$A:$F,3,FALSE)</f>
        <v>Grocery</v>
      </c>
      <c r="M566" t="b">
        <f>VLOOKUP(D566,Products!$A:$F,6,FALSE)</f>
        <v>1</v>
      </c>
      <c r="N566">
        <f>VLOOKUP(D566,Products!$A:$F,4,FALSE)</f>
        <v>1182</v>
      </c>
      <c r="O566" t="str">
        <f>VLOOKUP(C566,Customers!$A:$F,5,FALSE)</f>
        <v>Retail</v>
      </c>
      <c r="P566">
        <f>VLOOKUP(C566,Customers!$A:$F,3,FALSE)</f>
        <v>62</v>
      </c>
      <c r="Q566" t="str">
        <f>VLOOKUP(E566,Sales_Reps!$A:$E,3,FALSE)</f>
        <v>East</v>
      </c>
      <c r="R566" t="str">
        <f>VLOOKUP(E566,Sales_Reps!$A:$E,2,FALSE)</f>
        <v>Shalini Patel</v>
      </c>
      <c r="S566">
        <f t="shared" si="8"/>
        <v>0.50336134453781511</v>
      </c>
    </row>
    <row r="567" spans="1:19" x14ac:dyDescent="0.3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  <c r="L567" t="str">
        <f>VLOOKUP(D567,Products!$A:$F,3,FALSE)</f>
        <v>Sports</v>
      </c>
      <c r="M567" t="b">
        <f>VLOOKUP(D567,Products!$A:$F,6,FALSE)</f>
        <v>1</v>
      </c>
      <c r="N567">
        <f>VLOOKUP(D567,Products!$A:$F,4,FALSE)</f>
        <v>2827</v>
      </c>
      <c r="O567" t="str">
        <f>VLOOKUP(C567,Customers!$A:$F,5,FALSE)</f>
        <v>SMB</v>
      </c>
      <c r="P567">
        <f>VLOOKUP(C567,Customers!$A:$F,3,FALSE)</f>
        <v>49</v>
      </c>
      <c r="Q567" t="str">
        <f>VLOOKUP(E567,Sales_Reps!$A:$E,3,FALSE)</f>
        <v>West</v>
      </c>
      <c r="R567" t="str">
        <f>VLOOKUP(E567,Sales_Reps!$A:$E,2,FALSE)</f>
        <v>Preeti Shah</v>
      </c>
      <c r="S567">
        <f t="shared" si="8"/>
        <v>0.5926512968299712</v>
      </c>
    </row>
    <row r="568" spans="1:19" x14ac:dyDescent="0.3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  <c r="L568" t="str">
        <f>VLOOKUP(D568,Products!$A:$F,3,FALSE)</f>
        <v>Electronics</v>
      </c>
      <c r="M568" t="b">
        <f>VLOOKUP(D568,Products!$A:$F,6,FALSE)</f>
        <v>0</v>
      </c>
      <c r="N568">
        <f>VLOOKUP(D568,Products!$A:$F,4,FALSE)</f>
        <v>1259</v>
      </c>
      <c r="O568" t="str">
        <f>VLOOKUP(C568,Customers!$A:$F,5,FALSE)</f>
        <v>Retail</v>
      </c>
      <c r="P568">
        <f>VLOOKUP(C568,Customers!$A:$F,3,FALSE)</f>
        <v>35</v>
      </c>
      <c r="Q568" t="str">
        <f>VLOOKUP(E568,Sales_Reps!$A:$E,3,FALSE)</f>
        <v>South</v>
      </c>
      <c r="R568" t="str">
        <f>VLOOKUP(E568,Sales_Reps!$A:$E,2,FALSE)</f>
        <v>Divya Rao</v>
      </c>
      <c r="S568">
        <f t="shared" si="8"/>
        <v>0.52669172932330832</v>
      </c>
    </row>
    <row r="569" spans="1:19" x14ac:dyDescent="0.3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  <c r="L569" t="str">
        <f>VLOOKUP(D569,Products!$A:$F,3,FALSE)</f>
        <v>Grocery</v>
      </c>
      <c r="M569" t="b">
        <f>VLOOKUP(D569,Products!$A:$F,6,FALSE)</f>
        <v>1</v>
      </c>
      <c r="N569">
        <f>VLOOKUP(D569,Products!$A:$F,4,FALSE)</f>
        <v>434</v>
      </c>
      <c r="O569" t="str">
        <f>VLOOKUP(C569,Customers!$A:$F,5,FALSE)</f>
        <v>Retail</v>
      </c>
      <c r="P569">
        <f>VLOOKUP(C569,Customers!$A:$F,3,FALSE)</f>
        <v>35</v>
      </c>
      <c r="Q569" t="str">
        <f>VLOOKUP(E569,Sales_Reps!$A:$E,3,FALSE)</f>
        <v>South</v>
      </c>
      <c r="R569" t="str">
        <f>VLOOKUP(E569,Sales_Reps!$A:$E,2,FALSE)</f>
        <v>Sanjay Kapoor</v>
      </c>
      <c r="S569">
        <f t="shared" si="8"/>
        <v>0.5525773195876289</v>
      </c>
    </row>
    <row r="570" spans="1:19" x14ac:dyDescent="0.3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  <c r="L570" t="str">
        <f>VLOOKUP(D570,Products!$A:$F,3,FALSE)</f>
        <v>Grocery</v>
      </c>
      <c r="M570" t="b">
        <f>VLOOKUP(D570,Products!$A:$F,6,FALSE)</f>
        <v>1</v>
      </c>
      <c r="N570">
        <f>VLOOKUP(D570,Products!$A:$F,4,FALSE)</f>
        <v>1412</v>
      </c>
      <c r="O570" t="str">
        <f>VLOOKUP(C570,Customers!$A:$F,5,FALSE)</f>
        <v>Retail</v>
      </c>
      <c r="P570">
        <f>VLOOKUP(C570,Customers!$A:$F,3,FALSE)</f>
        <v>61</v>
      </c>
      <c r="Q570" t="str">
        <f>VLOOKUP(E570,Sales_Reps!$A:$E,3,FALSE)</f>
        <v>North</v>
      </c>
      <c r="R570" t="str">
        <f>VLOOKUP(E570,Sales_Reps!$A:$E,2,FALSE)</f>
        <v>Sunita Malhotra</v>
      </c>
      <c r="S570">
        <f t="shared" si="8"/>
        <v>0.37797356828193834</v>
      </c>
    </row>
    <row r="571" spans="1:19" x14ac:dyDescent="0.3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  <c r="L571" t="str">
        <f>VLOOKUP(D571,Products!$A:$F,3,FALSE)</f>
        <v>Sports</v>
      </c>
      <c r="M571" t="b">
        <f>VLOOKUP(D571,Products!$A:$F,6,FALSE)</f>
        <v>1</v>
      </c>
      <c r="N571">
        <f>VLOOKUP(D571,Products!$A:$F,4,FALSE)</f>
        <v>516</v>
      </c>
      <c r="O571" t="str">
        <f>VLOOKUP(C571,Customers!$A:$F,5,FALSE)</f>
        <v>Retail</v>
      </c>
      <c r="P571">
        <f>VLOOKUP(C571,Customers!$A:$F,3,FALSE)</f>
        <v>53</v>
      </c>
      <c r="Q571" t="str">
        <f>VLOOKUP(E571,Sales_Reps!$A:$E,3,FALSE)</f>
        <v>South</v>
      </c>
      <c r="R571" t="str">
        <f>VLOOKUP(E571,Sales_Reps!$A:$E,2,FALSE)</f>
        <v>Anjali Chopra</v>
      </c>
      <c r="S571">
        <f t="shared" si="8"/>
        <v>0.4891089108910891</v>
      </c>
    </row>
    <row r="572" spans="1:19" x14ac:dyDescent="0.3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  <c r="L572" t="str">
        <f>VLOOKUP(D572,Products!$A:$F,3,FALSE)</f>
        <v>Grocery</v>
      </c>
      <c r="M572" t="b">
        <f>VLOOKUP(D572,Products!$A:$F,6,FALSE)</f>
        <v>1</v>
      </c>
      <c r="N572">
        <f>VLOOKUP(D572,Products!$A:$F,4,FALSE)</f>
        <v>1182</v>
      </c>
      <c r="O572" t="str">
        <f>VLOOKUP(C572,Customers!$A:$F,5,FALSE)</f>
        <v>Corporate</v>
      </c>
      <c r="P572">
        <f>VLOOKUP(C572,Customers!$A:$F,3,FALSE)</f>
        <v>37</v>
      </c>
      <c r="Q572" t="str">
        <f>VLOOKUP(E572,Sales_Reps!$A:$E,3,FALSE)</f>
        <v>North</v>
      </c>
      <c r="R572" t="str">
        <f>VLOOKUP(E572,Sales_Reps!$A:$E,2,FALSE)</f>
        <v>Rajesh Malhotra</v>
      </c>
      <c r="S572">
        <f t="shared" si="8"/>
        <v>0.50336134453781511</v>
      </c>
    </row>
    <row r="573" spans="1:19" x14ac:dyDescent="0.3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  <c r="L573" t="str">
        <f>VLOOKUP(D573,Products!$A:$F,3,FALSE)</f>
        <v>Sports</v>
      </c>
      <c r="M573" t="b">
        <f>VLOOKUP(D573,Products!$A:$F,6,FALSE)</f>
        <v>0</v>
      </c>
      <c r="N573">
        <f>VLOOKUP(D573,Products!$A:$F,4,FALSE)</f>
        <v>302</v>
      </c>
      <c r="O573" t="str">
        <f>VLOOKUP(C573,Customers!$A:$F,5,FALSE)</f>
        <v>SMB</v>
      </c>
      <c r="P573">
        <f>VLOOKUP(C573,Customers!$A:$F,3,FALSE)</f>
        <v>36</v>
      </c>
      <c r="Q573" t="str">
        <f>VLOOKUP(E573,Sales_Reps!$A:$E,3,FALSE)</f>
        <v>East</v>
      </c>
      <c r="R573" t="str">
        <f>VLOOKUP(E573,Sales_Reps!$A:$E,2,FALSE)</f>
        <v>Shalini Patel</v>
      </c>
      <c r="S573">
        <f t="shared" si="8"/>
        <v>0.35744680851063831</v>
      </c>
    </row>
    <row r="574" spans="1:19" x14ac:dyDescent="0.3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  <c r="L574" t="str">
        <f>VLOOKUP(D574,Products!$A:$F,3,FALSE)</f>
        <v>Beauty</v>
      </c>
      <c r="M574" t="b">
        <f>VLOOKUP(D574,Products!$A:$F,6,FALSE)</f>
        <v>1</v>
      </c>
      <c r="N574">
        <f>VLOOKUP(D574,Products!$A:$F,4,FALSE)</f>
        <v>2237</v>
      </c>
      <c r="O574" t="str">
        <f>VLOOKUP(C574,Customers!$A:$F,5,FALSE)</f>
        <v>SMB</v>
      </c>
      <c r="P574">
        <f>VLOOKUP(C574,Customers!$A:$F,3,FALSE)</f>
        <v>34</v>
      </c>
      <c r="Q574" t="str">
        <f>VLOOKUP(E574,Sales_Reps!$A:$E,3,FALSE)</f>
        <v>West</v>
      </c>
      <c r="R574" t="str">
        <f>VLOOKUP(E574,Sales_Reps!$A:$E,2,FALSE)</f>
        <v>Ashok Reddy</v>
      </c>
      <c r="S574">
        <f t="shared" si="8"/>
        <v>0.56137254901960787</v>
      </c>
    </row>
    <row r="575" spans="1:19" x14ac:dyDescent="0.3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  <c r="L575" t="str">
        <f>VLOOKUP(D575,Products!$A:$F,3,FALSE)</f>
        <v>Beauty</v>
      </c>
      <c r="M575" t="b">
        <f>VLOOKUP(D575,Products!$A:$F,6,FALSE)</f>
        <v>1</v>
      </c>
      <c r="N575">
        <f>VLOOKUP(D575,Products!$A:$F,4,FALSE)</f>
        <v>675</v>
      </c>
      <c r="O575" t="str">
        <f>VLOOKUP(C575,Customers!$A:$F,5,FALSE)</f>
        <v>Retail</v>
      </c>
      <c r="P575">
        <f>VLOOKUP(C575,Customers!$A:$F,3,FALSE)</f>
        <v>32</v>
      </c>
      <c r="Q575" t="str">
        <f>VLOOKUP(E575,Sales_Reps!$A:$E,3,FALSE)</f>
        <v>West</v>
      </c>
      <c r="R575" t="str">
        <f>VLOOKUP(E575,Sales_Reps!$A:$E,2,FALSE)</f>
        <v>Sonia Malhotra</v>
      </c>
      <c r="S575">
        <f t="shared" si="8"/>
        <v>0.296875</v>
      </c>
    </row>
    <row r="576" spans="1:19" x14ac:dyDescent="0.3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  <c r="L576" t="str">
        <f>VLOOKUP(D576,Products!$A:$F,3,FALSE)</f>
        <v>Grocery</v>
      </c>
      <c r="M576" t="b">
        <f>VLOOKUP(D576,Products!$A:$F,6,FALSE)</f>
        <v>1</v>
      </c>
      <c r="N576">
        <f>VLOOKUP(D576,Products!$A:$F,4,FALSE)</f>
        <v>2027</v>
      </c>
      <c r="O576" t="str">
        <f>VLOOKUP(C576,Customers!$A:$F,5,FALSE)</f>
        <v>SMB</v>
      </c>
      <c r="P576">
        <f>VLOOKUP(C576,Customers!$A:$F,3,FALSE)</f>
        <v>40</v>
      </c>
      <c r="Q576" t="str">
        <f>VLOOKUP(E576,Sales_Reps!$A:$E,3,FALSE)</f>
        <v>North</v>
      </c>
      <c r="R576" t="str">
        <f>VLOOKUP(E576,Sales_Reps!$A:$E,2,FALSE)</f>
        <v>Suresh Menon</v>
      </c>
      <c r="S576">
        <f t="shared" si="8"/>
        <v>0.50196560196560192</v>
      </c>
    </row>
    <row r="577" spans="1:19" x14ac:dyDescent="0.3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  <c r="L577" t="str">
        <f>VLOOKUP(D577,Products!$A:$F,3,FALSE)</f>
        <v>Home</v>
      </c>
      <c r="M577" t="b">
        <f>VLOOKUP(D577,Products!$A:$F,6,FALSE)</f>
        <v>1</v>
      </c>
      <c r="N577">
        <f>VLOOKUP(D577,Products!$A:$F,4,FALSE)</f>
        <v>2135</v>
      </c>
      <c r="O577" t="str">
        <f>VLOOKUP(C577,Customers!$A:$F,5,FALSE)</f>
        <v>SMB</v>
      </c>
      <c r="P577">
        <f>VLOOKUP(C577,Customers!$A:$F,3,FALSE)</f>
        <v>47</v>
      </c>
      <c r="Q577" t="str">
        <f>VLOOKUP(E577,Sales_Reps!$A:$E,3,FALSE)</f>
        <v>East</v>
      </c>
      <c r="R577" t="str">
        <f>VLOOKUP(E577,Sales_Reps!$A:$E,2,FALSE)</f>
        <v>Gaurav Desai</v>
      </c>
      <c r="S577">
        <f t="shared" si="8"/>
        <v>0.42761394101876676</v>
      </c>
    </row>
    <row r="578" spans="1:19" x14ac:dyDescent="0.3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  <c r="L578" t="str">
        <f>VLOOKUP(D578,Products!$A:$F,3,FALSE)</f>
        <v>Sports</v>
      </c>
      <c r="M578" t="b">
        <f>VLOOKUP(D578,Products!$A:$F,6,FALSE)</f>
        <v>1</v>
      </c>
      <c r="N578">
        <f>VLOOKUP(D578,Products!$A:$F,4,FALSE)</f>
        <v>2028</v>
      </c>
      <c r="O578" t="str">
        <f>VLOOKUP(C578,Customers!$A:$F,5,FALSE)</f>
        <v>Corporate</v>
      </c>
      <c r="P578">
        <f>VLOOKUP(C578,Customers!$A:$F,3,FALSE)</f>
        <v>46</v>
      </c>
      <c r="Q578" t="str">
        <f>VLOOKUP(E578,Sales_Reps!$A:$E,3,FALSE)</f>
        <v>East</v>
      </c>
      <c r="R578" t="str">
        <f>VLOOKUP(E578,Sales_Reps!$A:$E,2,FALSE)</f>
        <v>Nisha Menon</v>
      </c>
      <c r="S578">
        <f t="shared" si="8"/>
        <v>0.29090909090909089</v>
      </c>
    </row>
    <row r="579" spans="1:19" x14ac:dyDescent="0.3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  <c r="L579" t="str">
        <f>VLOOKUP(D579,Products!$A:$F,3,FALSE)</f>
        <v>Beauty</v>
      </c>
      <c r="M579" t="b">
        <f>VLOOKUP(D579,Products!$A:$F,6,FALSE)</f>
        <v>1</v>
      </c>
      <c r="N579">
        <f>VLOOKUP(D579,Products!$A:$F,4,FALSE)</f>
        <v>2768</v>
      </c>
      <c r="O579" t="str">
        <f>VLOOKUP(C579,Customers!$A:$F,5,FALSE)</f>
        <v>SMB</v>
      </c>
      <c r="P579">
        <f>VLOOKUP(C579,Customers!$A:$F,3,FALSE)</f>
        <v>39</v>
      </c>
      <c r="Q579" t="str">
        <f>VLOOKUP(E579,Sales_Reps!$A:$E,3,FALSE)</f>
        <v>East</v>
      </c>
      <c r="R579" t="str">
        <f>VLOOKUP(E579,Sales_Reps!$A:$E,2,FALSE)</f>
        <v>Shalini Patel</v>
      </c>
      <c r="S579">
        <f t="shared" ref="S579:S642" si="9">IFERROR((G579-N579)/G579,"")</f>
        <v>0.43278688524590164</v>
      </c>
    </row>
    <row r="580" spans="1:19" x14ac:dyDescent="0.3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  <c r="L580" t="str">
        <f>VLOOKUP(D580,Products!$A:$F,3,FALSE)</f>
        <v>Grocery</v>
      </c>
      <c r="M580" t="b">
        <f>VLOOKUP(D580,Products!$A:$F,6,FALSE)</f>
        <v>1</v>
      </c>
      <c r="N580">
        <f>VLOOKUP(D580,Products!$A:$F,4,FALSE)</f>
        <v>1412</v>
      </c>
      <c r="O580" t="str">
        <f>VLOOKUP(C580,Customers!$A:$F,5,FALSE)</f>
        <v>Retail</v>
      </c>
      <c r="P580">
        <f>VLOOKUP(C580,Customers!$A:$F,3,FALSE)</f>
        <v>32</v>
      </c>
      <c r="Q580" t="str">
        <f>VLOOKUP(E580,Sales_Reps!$A:$E,3,FALSE)</f>
        <v>East</v>
      </c>
      <c r="R580" t="str">
        <f>VLOOKUP(E580,Sales_Reps!$A:$E,2,FALSE)</f>
        <v>Nisha Menon</v>
      </c>
      <c r="S580">
        <f t="shared" si="9"/>
        <v>0.37797356828193834</v>
      </c>
    </row>
    <row r="581" spans="1:19" x14ac:dyDescent="0.3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  <c r="L581" t="str">
        <f>VLOOKUP(D581,Products!$A:$F,3,FALSE)</f>
        <v>Grocery</v>
      </c>
      <c r="M581" t="b">
        <f>VLOOKUP(D581,Products!$A:$F,6,FALSE)</f>
        <v>1</v>
      </c>
      <c r="N581">
        <f>VLOOKUP(D581,Products!$A:$F,4,FALSE)</f>
        <v>2911</v>
      </c>
      <c r="O581" t="str">
        <f>VLOOKUP(C581,Customers!$A:$F,5,FALSE)</f>
        <v>Retail</v>
      </c>
      <c r="P581">
        <f>VLOOKUP(C581,Customers!$A:$F,3,FALSE)</f>
        <v>65</v>
      </c>
      <c r="Q581" t="str">
        <f>VLOOKUP(E581,Sales_Reps!$A:$E,3,FALSE)</f>
        <v>North</v>
      </c>
      <c r="R581" t="str">
        <f>VLOOKUP(E581,Sales_Reps!$A:$E,2,FALSE)</f>
        <v>Suresh Menon</v>
      </c>
      <c r="S581">
        <f t="shared" si="9"/>
        <v>0.28300492610837441</v>
      </c>
    </row>
    <row r="582" spans="1:19" x14ac:dyDescent="0.3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  <c r="L582" t="str">
        <f>VLOOKUP(D582,Products!$A:$F,3,FALSE)</f>
        <v>Electronics</v>
      </c>
      <c r="M582" t="b">
        <f>VLOOKUP(D582,Products!$A:$F,6,FALSE)</f>
        <v>1</v>
      </c>
      <c r="N582">
        <f>VLOOKUP(D582,Products!$A:$F,4,FALSE)</f>
        <v>1149</v>
      </c>
      <c r="O582" t="str">
        <f>VLOOKUP(C582,Customers!$A:$F,5,FALSE)</f>
        <v>Retail</v>
      </c>
      <c r="P582">
        <f>VLOOKUP(C582,Customers!$A:$F,3,FALSE)</f>
        <v>53</v>
      </c>
      <c r="Q582" t="str">
        <f>VLOOKUP(E582,Sales_Reps!$A:$E,3,FALSE)</f>
        <v>North</v>
      </c>
      <c r="R582" t="str">
        <f>VLOOKUP(E582,Sales_Reps!$A:$E,2,FALSE)</f>
        <v>Priya Singh</v>
      </c>
      <c r="S582">
        <f t="shared" si="9"/>
        <v>0.56477272727272732</v>
      </c>
    </row>
    <row r="583" spans="1:19" x14ac:dyDescent="0.3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  <c r="L583" t="str">
        <f>VLOOKUP(D583,Products!$A:$F,3,FALSE)</f>
        <v>Home</v>
      </c>
      <c r="M583" t="b">
        <f>VLOOKUP(D583,Products!$A:$F,6,FALSE)</f>
        <v>1</v>
      </c>
      <c r="N583">
        <f>VLOOKUP(D583,Products!$A:$F,4,FALSE)</f>
        <v>2135</v>
      </c>
      <c r="O583" t="str">
        <f>VLOOKUP(C583,Customers!$A:$F,5,FALSE)</f>
        <v>Retail</v>
      </c>
      <c r="P583">
        <f>VLOOKUP(C583,Customers!$A:$F,3,FALSE)</f>
        <v>59</v>
      </c>
      <c r="Q583" t="str">
        <f>VLOOKUP(E583,Sales_Reps!$A:$E,3,FALSE)</f>
        <v>South</v>
      </c>
      <c r="R583" t="str">
        <f>VLOOKUP(E583,Sales_Reps!$A:$E,2,FALSE)</f>
        <v>Pooja Nair</v>
      </c>
      <c r="S583">
        <f t="shared" si="9"/>
        <v>0.42761394101876676</v>
      </c>
    </row>
    <row r="584" spans="1:19" x14ac:dyDescent="0.3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  <c r="L584" t="str">
        <f>VLOOKUP(D584,Products!$A:$F,3,FALSE)</f>
        <v>Electronics</v>
      </c>
      <c r="M584" t="b">
        <f>VLOOKUP(D584,Products!$A:$F,6,FALSE)</f>
        <v>1</v>
      </c>
      <c r="N584">
        <f>VLOOKUP(D584,Products!$A:$F,4,FALSE)</f>
        <v>2405</v>
      </c>
      <c r="O584" t="str">
        <f>VLOOKUP(C584,Customers!$A:$F,5,FALSE)</f>
        <v>Retail</v>
      </c>
      <c r="P584">
        <f>VLOOKUP(C584,Customers!$A:$F,3,FALSE)</f>
        <v>59</v>
      </c>
      <c r="Q584" t="str">
        <f>VLOOKUP(E584,Sales_Reps!$A:$E,3,FALSE)</f>
        <v>North</v>
      </c>
      <c r="R584" t="str">
        <f>VLOOKUP(E584,Sales_Reps!$A:$E,2,FALSE)</f>
        <v>Neha Desai</v>
      </c>
      <c r="S584">
        <f t="shared" si="9"/>
        <v>0.54878048780487809</v>
      </c>
    </row>
    <row r="585" spans="1:19" x14ac:dyDescent="0.3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  <c r="L585" t="str">
        <f>VLOOKUP(D585,Products!$A:$F,3,FALSE)</f>
        <v>Apparel</v>
      </c>
      <c r="M585" t="b">
        <f>VLOOKUP(D585,Products!$A:$F,6,FALSE)</f>
        <v>1</v>
      </c>
      <c r="N585">
        <f>VLOOKUP(D585,Products!$A:$F,4,FALSE)</f>
        <v>1748</v>
      </c>
      <c r="O585" t="str">
        <f>VLOOKUP(C585,Customers!$A:$F,5,FALSE)</f>
        <v>Retail</v>
      </c>
      <c r="P585">
        <f>VLOOKUP(C585,Customers!$A:$F,3,FALSE)</f>
        <v>33</v>
      </c>
      <c r="Q585" t="str">
        <f>VLOOKUP(E585,Sales_Reps!$A:$E,3,FALSE)</f>
        <v>West</v>
      </c>
      <c r="R585" t="str">
        <f>VLOOKUP(E585,Sales_Reps!$A:$E,2,FALSE)</f>
        <v>Ramesh Bhatt</v>
      </c>
      <c r="S585">
        <f t="shared" si="9"/>
        <v>0.49333333333333335</v>
      </c>
    </row>
    <row r="586" spans="1:19" x14ac:dyDescent="0.3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  <c r="L586" t="str">
        <f>VLOOKUP(D586,Products!$A:$F,3,FALSE)</f>
        <v>Beauty</v>
      </c>
      <c r="M586" t="b">
        <f>VLOOKUP(D586,Products!$A:$F,6,FALSE)</f>
        <v>1</v>
      </c>
      <c r="N586">
        <f>VLOOKUP(D586,Products!$A:$F,4,FALSE)</f>
        <v>2617</v>
      </c>
      <c r="O586" t="str">
        <f>VLOOKUP(C586,Customers!$A:$F,5,FALSE)</f>
        <v>Corporate</v>
      </c>
      <c r="P586">
        <f>VLOOKUP(C586,Customers!$A:$F,3,FALSE)</f>
        <v>55</v>
      </c>
      <c r="Q586" t="str">
        <f>VLOOKUP(E586,Sales_Reps!$A:$E,3,FALSE)</f>
        <v>East</v>
      </c>
      <c r="R586" t="str">
        <f>VLOOKUP(E586,Sales_Reps!$A:$E,2,FALSE)</f>
        <v>Naveen Singh</v>
      </c>
      <c r="S586">
        <f t="shared" si="9"/>
        <v>0.56957236842105263</v>
      </c>
    </row>
    <row r="587" spans="1:19" x14ac:dyDescent="0.3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  <c r="L587" t="str">
        <f>VLOOKUP(D587,Products!$A:$F,3,FALSE)</f>
        <v>Home</v>
      </c>
      <c r="M587" t="b">
        <f>VLOOKUP(D587,Products!$A:$F,6,FALSE)</f>
        <v>1</v>
      </c>
      <c r="N587">
        <f>VLOOKUP(D587,Products!$A:$F,4,FALSE)</f>
        <v>2135</v>
      </c>
      <c r="O587" t="str">
        <f>VLOOKUP(C587,Customers!$A:$F,5,FALSE)</f>
        <v>Retail</v>
      </c>
      <c r="P587">
        <f>VLOOKUP(C587,Customers!$A:$F,3,FALSE)</f>
        <v>42</v>
      </c>
      <c r="Q587" t="str">
        <f>VLOOKUP(E587,Sales_Reps!$A:$E,3,FALSE)</f>
        <v>North</v>
      </c>
      <c r="R587" t="str">
        <f>VLOOKUP(E587,Sales_Reps!$A:$E,2,FALSE)</f>
        <v>Sunita Malhotra</v>
      </c>
      <c r="S587">
        <f t="shared" si="9"/>
        <v>0.42761394101876676</v>
      </c>
    </row>
    <row r="588" spans="1:19" x14ac:dyDescent="0.3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  <c r="L588" t="str">
        <f>VLOOKUP(D588,Products!$A:$F,3,FALSE)</f>
        <v>Electronics</v>
      </c>
      <c r="M588" t="b">
        <f>VLOOKUP(D588,Products!$A:$F,6,FALSE)</f>
        <v>0</v>
      </c>
      <c r="N588">
        <f>VLOOKUP(D588,Products!$A:$F,4,FALSE)</f>
        <v>1259</v>
      </c>
      <c r="O588" t="str">
        <f>VLOOKUP(C588,Customers!$A:$F,5,FALSE)</f>
        <v>Retail</v>
      </c>
      <c r="P588">
        <f>VLOOKUP(C588,Customers!$A:$F,3,FALSE)</f>
        <v>41</v>
      </c>
      <c r="Q588" t="str">
        <f>VLOOKUP(E588,Sales_Reps!$A:$E,3,FALSE)</f>
        <v>East</v>
      </c>
      <c r="R588" t="str">
        <f>VLOOKUP(E588,Sales_Reps!$A:$E,2,FALSE)</f>
        <v>Nisha Menon</v>
      </c>
      <c r="S588">
        <f t="shared" si="9"/>
        <v>0.52669172932330832</v>
      </c>
    </row>
    <row r="589" spans="1:19" x14ac:dyDescent="0.3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  <c r="L589" t="str">
        <f>VLOOKUP(D589,Products!$A:$F,3,FALSE)</f>
        <v>Grocery</v>
      </c>
      <c r="M589" t="b">
        <f>VLOOKUP(D589,Products!$A:$F,6,FALSE)</f>
        <v>1</v>
      </c>
      <c r="N589">
        <f>VLOOKUP(D589,Products!$A:$F,4,FALSE)</f>
        <v>1010</v>
      </c>
      <c r="O589" t="str">
        <f>VLOOKUP(C589,Customers!$A:$F,5,FALSE)</f>
        <v>SMB</v>
      </c>
      <c r="P589">
        <f>VLOOKUP(C589,Customers!$A:$F,3,FALSE)</f>
        <v>40</v>
      </c>
      <c r="Q589" t="str">
        <f>VLOOKUP(E589,Sales_Reps!$A:$E,3,FALSE)</f>
        <v>East</v>
      </c>
      <c r="R589" t="str">
        <f>VLOOKUP(E589,Sales_Reps!$A:$E,2,FALSE)</f>
        <v>Gaurav Desai</v>
      </c>
      <c r="S589">
        <f t="shared" si="9"/>
        <v>0.54298642533936647</v>
      </c>
    </row>
    <row r="590" spans="1:19" x14ac:dyDescent="0.3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  <c r="L590" t="str">
        <f>VLOOKUP(D590,Products!$A:$F,3,FALSE)</f>
        <v>Sports</v>
      </c>
      <c r="M590" t="b">
        <f>VLOOKUP(D590,Products!$A:$F,6,FALSE)</f>
        <v>1</v>
      </c>
      <c r="N590">
        <f>VLOOKUP(D590,Products!$A:$F,4,FALSE)</f>
        <v>1860</v>
      </c>
      <c r="O590" t="str">
        <f>VLOOKUP(C590,Customers!$A:$F,5,FALSE)</f>
        <v>SMB</v>
      </c>
      <c r="P590">
        <f>VLOOKUP(C590,Customers!$A:$F,3,FALSE)</f>
        <v>44</v>
      </c>
      <c r="Q590" t="str">
        <f>VLOOKUP(E590,Sales_Reps!$A:$E,3,FALSE)</f>
        <v>South</v>
      </c>
      <c r="R590" t="str">
        <f>VLOOKUP(E590,Sales_Reps!$A:$E,2,FALSE)</f>
        <v>Sanjay Kapoor</v>
      </c>
      <c r="S590">
        <f t="shared" si="9"/>
        <v>0.50793650793650791</v>
      </c>
    </row>
    <row r="591" spans="1:19" x14ac:dyDescent="0.3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  <c r="L591" t="str">
        <f>VLOOKUP(D591,Products!$A:$F,3,FALSE)</f>
        <v>Home</v>
      </c>
      <c r="M591" t="b">
        <f>VLOOKUP(D591,Products!$A:$F,6,FALSE)</f>
        <v>1</v>
      </c>
      <c r="N591">
        <f>VLOOKUP(D591,Products!$A:$F,4,FALSE)</f>
        <v>2549</v>
      </c>
      <c r="O591" t="str">
        <f>VLOOKUP(C591,Customers!$A:$F,5,FALSE)</f>
        <v>Retail</v>
      </c>
      <c r="P591">
        <f>VLOOKUP(C591,Customers!$A:$F,3,FALSE)</f>
        <v>31</v>
      </c>
      <c r="Q591" t="str">
        <f>VLOOKUP(E591,Sales_Reps!$A:$E,3,FALSE)</f>
        <v>West</v>
      </c>
      <c r="R591" t="str">
        <f>VLOOKUP(E591,Sales_Reps!$A:$E,2,FALSE)</f>
        <v>Arun Iyer</v>
      </c>
      <c r="S591">
        <f t="shared" si="9"/>
        <v>0.53570127504553733</v>
      </c>
    </row>
    <row r="592" spans="1:19" x14ac:dyDescent="0.3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  <c r="L592" t="str">
        <f>VLOOKUP(D592,Products!$A:$F,3,FALSE)</f>
        <v>Electronics</v>
      </c>
      <c r="M592" t="b">
        <f>VLOOKUP(D592,Products!$A:$F,6,FALSE)</f>
        <v>0</v>
      </c>
      <c r="N592">
        <f>VLOOKUP(D592,Products!$A:$F,4,FALSE)</f>
        <v>1259</v>
      </c>
      <c r="O592" t="str">
        <f>VLOOKUP(C592,Customers!$A:$F,5,FALSE)</f>
        <v>SMB</v>
      </c>
      <c r="P592">
        <f>VLOOKUP(C592,Customers!$A:$F,3,FALSE)</f>
        <v>39</v>
      </c>
      <c r="Q592" t="str">
        <f>VLOOKUP(E592,Sales_Reps!$A:$E,3,FALSE)</f>
        <v>South</v>
      </c>
      <c r="R592" t="str">
        <f>VLOOKUP(E592,Sales_Reps!$A:$E,2,FALSE)</f>
        <v>Sanjay Kapoor</v>
      </c>
      <c r="S592">
        <f t="shared" si="9"/>
        <v>0.52669172932330832</v>
      </c>
    </row>
    <row r="593" spans="1:19" x14ac:dyDescent="0.3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  <c r="L593" t="str">
        <f>VLOOKUP(D593,Products!$A:$F,3,FALSE)</f>
        <v>Sports</v>
      </c>
      <c r="M593" t="b">
        <f>VLOOKUP(D593,Products!$A:$F,6,FALSE)</f>
        <v>1</v>
      </c>
      <c r="N593">
        <f>VLOOKUP(D593,Products!$A:$F,4,FALSE)</f>
        <v>2827</v>
      </c>
      <c r="O593" t="str">
        <f>VLOOKUP(C593,Customers!$A:$F,5,FALSE)</f>
        <v>Retail</v>
      </c>
      <c r="P593">
        <f>VLOOKUP(C593,Customers!$A:$F,3,FALSE)</f>
        <v>59</v>
      </c>
      <c r="Q593" t="str">
        <f>VLOOKUP(E593,Sales_Reps!$A:$E,3,FALSE)</f>
        <v>West</v>
      </c>
      <c r="R593" t="str">
        <f>VLOOKUP(E593,Sales_Reps!$A:$E,2,FALSE)</f>
        <v>Preeti Shah</v>
      </c>
      <c r="S593">
        <f t="shared" si="9"/>
        <v>0.5926512968299712</v>
      </c>
    </row>
    <row r="594" spans="1:19" x14ac:dyDescent="0.3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  <c r="L594" t="str">
        <f>VLOOKUP(D594,Products!$A:$F,3,FALSE)</f>
        <v>Electronics</v>
      </c>
      <c r="M594" t="b">
        <f>VLOOKUP(D594,Products!$A:$F,6,FALSE)</f>
        <v>1</v>
      </c>
      <c r="N594">
        <f>VLOOKUP(D594,Products!$A:$F,4,FALSE)</f>
        <v>1559</v>
      </c>
      <c r="O594" t="str">
        <f>VLOOKUP(C594,Customers!$A:$F,5,FALSE)</f>
        <v>Corporate</v>
      </c>
      <c r="P594">
        <f>VLOOKUP(C594,Customers!$A:$F,3,FALSE)</f>
        <v>47</v>
      </c>
      <c r="Q594" t="str">
        <f>VLOOKUP(E594,Sales_Reps!$A:$E,3,FALSE)</f>
        <v>North</v>
      </c>
      <c r="R594" t="str">
        <f>VLOOKUP(E594,Sales_Reps!$A:$E,2,FALSE)</f>
        <v>Neha Desai</v>
      </c>
      <c r="S594">
        <f t="shared" si="9"/>
        <v>0.59715762273901807</v>
      </c>
    </row>
    <row r="595" spans="1:19" x14ac:dyDescent="0.3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  <c r="L595" t="str">
        <f>VLOOKUP(D595,Products!$A:$F,3,FALSE)</f>
        <v>Home</v>
      </c>
      <c r="M595" t="b">
        <f>VLOOKUP(D595,Products!$A:$F,6,FALSE)</f>
        <v>1</v>
      </c>
      <c r="N595">
        <f>VLOOKUP(D595,Products!$A:$F,4,FALSE)</f>
        <v>464</v>
      </c>
      <c r="O595" t="str">
        <f>VLOOKUP(C595,Customers!$A:$F,5,FALSE)</f>
        <v>Retail</v>
      </c>
      <c r="P595">
        <f>VLOOKUP(C595,Customers!$A:$F,3,FALSE)</f>
        <v>41</v>
      </c>
      <c r="Q595" t="str">
        <f>VLOOKUP(E595,Sales_Reps!$A:$E,3,FALSE)</f>
        <v>North</v>
      </c>
      <c r="R595" t="str">
        <f>VLOOKUP(E595,Sales_Reps!$A:$E,2,FALSE)</f>
        <v>Kavita Patel</v>
      </c>
      <c r="S595">
        <f t="shared" si="9"/>
        <v>0.57431192660550456</v>
      </c>
    </row>
    <row r="596" spans="1:19" x14ac:dyDescent="0.3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  <c r="L596" t="str">
        <f>VLOOKUP(D596,Products!$A:$F,3,FALSE)</f>
        <v>Electronics</v>
      </c>
      <c r="M596" t="b">
        <f>VLOOKUP(D596,Products!$A:$F,6,FALSE)</f>
        <v>1</v>
      </c>
      <c r="N596">
        <f>VLOOKUP(D596,Products!$A:$F,4,FALSE)</f>
        <v>1052</v>
      </c>
      <c r="O596" t="str">
        <f>VLOOKUP(C596,Customers!$A:$F,5,FALSE)</f>
        <v>Retail</v>
      </c>
      <c r="P596">
        <f>VLOOKUP(C596,Customers!$A:$F,3,FALSE)</f>
        <v>61</v>
      </c>
      <c r="Q596" t="str">
        <f>VLOOKUP(E596,Sales_Reps!$A:$E,3,FALSE)</f>
        <v>North</v>
      </c>
      <c r="R596" t="str">
        <f>VLOOKUP(E596,Sales_Reps!$A:$E,2,FALSE)</f>
        <v>Rajesh Malhotra</v>
      </c>
      <c r="S596">
        <f t="shared" si="9"/>
        <v>0.5953846153846154</v>
      </c>
    </row>
    <row r="597" spans="1:19" x14ac:dyDescent="0.3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  <c r="L597" t="str">
        <f>VLOOKUP(D597,Products!$A:$F,3,FALSE)</f>
        <v>Sports</v>
      </c>
      <c r="M597" t="b">
        <f>VLOOKUP(D597,Products!$A:$F,6,FALSE)</f>
        <v>1</v>
      </c>
      <c r="N597">
        <f>VLOOKUP(D597,Products!$A:$F,4,FALSE)</f>
        <v>705</v>
      </c>
      <c r="O597" t="str">
        <f>VLOOKUP(C597,Customers!$A:$F,5,FALSE)</f>
        <v>SMB</v>
      </c>
      <c r="P597">
        <f>VLOOKUP(C597,Customers!$A:$F,3,FALSE)</f>
        <v>59</v>
      </c>
      <c r="Q597" t="str">
        <f>VLOOKUP(E597,Sales_Reps!$A:$E,3,FALSE)</f>
        <v>East</v>
      </c>
      <c r="R597" t="str">
        <f>VLOOKUP(E597,Sales_Reps!$A:$E,2,FALSE)</f>
        <v>Meera Iyer</v>
      </c>
      <c r="S597">
        <f t="shared" si="9"/>
        <v>0.265625</v>
      </c>
    </row>
    <row r="598" spans="1:19" x14ac:dyDescent="0.3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  <c r="L598" t="str">
        <f>VLOOKUP(D598,Products!$A:$F,3,FALSE)</f>
        <v>Home</v>
      </c>
      <c r="M598" t="b">
        <f>VLOOKUP(D598,Products!$A:$F,6,FALSE)</f>
        <v>1</v>
      </c>
      <c r="N598">
        <f>VLOOKUP(D598,Products!$A:$F,4,FALSE)</f>
        <v>288</v>
      </c>
      <c r="O598" t="str">
        <f>VLOOKUP(C598,Customers!$A:$F,5,FALSE)</f>
        <v>Retail</v>
      </c>
      <c r="P598">
        <f>VLOOKUP(C598,Customers!$A:$F,3,FALSE)</f>
        <v>54</v>
      </c>
      <c r="Q598" t="str">
        <f>VLOOKUP(E598,Sales_Reps!$A:$E,3,FALSE)</f>
        <v>West</v>
      </c>
      <c r="R598" t="str">
        <f>VLOOKUP(E598,Sales_Reps!$A:$E,2,FALSE)</f>
        <v>Sonia Malhotra</v>
      </c>
      <c r="S598">
        <f t="shared" si="9"/>
        <v>0.22162162162162163</v>
      </c>
    </row>
    <row r="599" spans="1:19" x14ac:dyDescent="0.3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  <c r="L599" t="str">
        <f>VLOOKUP(D599,Products!$A:$F,3,FALSE)</f>
        <v>Home</v>
      </c>
      <c r="M599" t="b">
        <f>VLOOKUP(D599,Products!$A:$F,6,FALSE)</f>
        <v>1</v>
      </c>
      <c r="N599">
        <f>VLOOKUP(D599,Products!$A:$F,4,FALSE)</f>
        <v>2459</v>
      </c>
      <c r="O599" t="str">
        <f>VLOOKUP(C599,Customers!$A:$F,5,FALSE)</f>
        <v>SMB</v>
      </c>
      <c r="P599">
        <f>VLOOKUP(C599,Customers!$A:$F,3,FALSE)</f>
        <v>34</v>
      </c>
      <c r="Q599" t="str">
        <f>VLOOKUP(E599,Sales_Reps!$A:$E,3,FALSE)</f>
        <v>North</v>
      </c>
      <c r="R599" t="str">
        <f>VLOOKUP(E599,Sales_Reps!$A:$E,2,FALSE)</f>
        <v>Neha Desai</v>
      </c>
      <c r="S599">
        <f t="shared" si="9"/>
        <v>0.51594488188976373</v>
      </c>
    </row>
    <row r="600" spans="1:19" x14ac:dyDescent="0.3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  <c r="L600" t="str">
        <f>VLOOKUP(D600,Products!$A:$F,3,FALSE)</f>
        <v>Beauty</v>
      </c>
      <c r="M600" t="b">
        <f>VLOOKUP(D600,Products!$A:$F,6,FALSE)</f>
        <v>0</v>
      </c>
      <c r="N600">
        <f>VLOOKUP(D600,Products!$A:$F,4,FALSE)</f>
        <v>647</v>
      </c>
      <c r="O600" t="str">
        <f>VLOOKUP(C600,Customers!$A:$F,5,FALSE)</f>
        <v>Retail</v>
      </c>
      <c r="P600">
        <f>VLOOKUP(C600,Customers!$A:$F,3,FALSE)</f>
        <v>62</v>
      </c>
      <c r="Q600" t="str">
        <f>VLOOKUP(E600,Sales_Reps!$A:$E,3,FALSE)</f>
        <v>North</v>
      </c>
      <c r="R600" t="str">
        <f>VLOOKUP(E600,Sales_Reps!$A:$E,2,FALSE)</f>
        <v>Amit Singh</v>
      </c>
      <c r="S600">
        <f t="shared" si="9"/>
        <v>0.57987012987012987</v>
      </c>
    </row>
    <row r="601" spans="1:19" x14ac:dyDescent="0.3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  <c r="L601" t="str">
        <f>VLOOKUP(D601,Products!$A:$F,3,FALSE)</f>
        <v>Grocery</v>
      </c>
      <c r="M601" t="b">
        <f>VLOOKUP(D601,Products!$A:$F,6,FALSE)</f>
        <v>1</v>
      </c>
      <c r="N601">
        <f>VLOOKUP(D601,Products!$A:$F,4,FALSE)</f>
        <v>1203</v>
      </c>
      <c r="O601" t="str">
        <f>VLOOKUP(C601,Customers!$A:$F,5,FALSE)</f>
        <v>Retail</v>
      </c>
      <c r="P601">
        <f>VLOOKUP(C601,Customers!$A:$F,3,FALSE)</f>
        <v>37</v>
      </c>
      <c r="Q601" t="str">
        <f>VLOOKUP(E601,Sales_Reps!$A:$E,3,FALSE)</f>
        <v>South</v>
      </c>
      <c r="R601" t="str">
        <f>VLOOKUP(E601,Sales_Reps!$A:$E,2,FALSE)</f>
        <v>Deepak Shah</v>
      </c>
      <c r="S601">
        <f t="shared" si="9"/>
        <v>0.47004405286343615</v>
      </c>
    </row>
    <row r="602" spans="1:19" x14ac:dyDescent="0.3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  <c r="L602" t="str">
        <f>VLOOKUP(D602,Products!$A:$F,3,FALSE)</f>
        <v>Sports</v>
      </c>
      <c r="M602" t="b">
        <f>VLOOKUP(D602,Products!$A:$F,6,FALSE)</f>
        <v>1</v>
      </c>
      <c r="N602">
        <f>VLOOKUP(D602,Products!$A:$F,4,FALSE)</f>
        <v>705</v>
      </c>
      <c r="O602" t="str">
        <f>VLOOKUP(C602,Customers!$A:$F,5,FALSE)</f>
        <v>Retail</v>
      </c>
      <c r="P602">
        <f>VLOOKUP(C602,Customers!$A:$F,3,FALSE)</f>
        <v>52</v>
      </c>
      <c r="Q602" t="str">
        <f>VLOOKUP(E602,Sales_Reps!$A:$E,3,FALSE)</f>
        <v>South</v>
      </c>
      <c r="R602" t="str">
        <f>VLOOKUP(E602,Sales_Reps!$A:$E,2,FALSE)</f>
        <v>Deepak Shah</v>
      </c>
      <c r="S602">
        <f t="shared" si="9"/>
        <v>0.265625</v>
      </c>
    </row>
    <row r="603" spans="1:19" x14ac:dyDescent="0.3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  <c r="L603" t="str">
        <f>VLOOKUP(D603,Products!$A:$F,3,FALSE)</f>
        <v>Electronics</v>
      </c>
      <c r="M603" t="b">
        <f>VLOOKUP(D603,Products!$A:$F,6,FALSE)</f>
        <v>1</v>
      </c>
      <c r="N603">
        <f>VLOOKUP(D603,Products!$A:$F,4,FALSE)</f>
        <v>861</v>
      </c>
      <c r="O603" t="str">
        <f>VLOOKUP(C603,Customers!$A:$F,5,FALSE)</f>
        <v>SMB</v>
      </c>
      <c r="P603">
        <f>VLOOKUP(C603,Customers!$A:$F,3,FALSE)</f>
        <v>53</v>
      </c>
      <c r="Q603" t="str">
        <f>VLOOKUP(E603,Sales_Reps!$A:$E,3,FALSE)</f>
        <v>West</v>
      </c>
      <c r="R603" t="str">
        <f>VLOOKUP(E603,Sales_Reps!$A:$E,2,FALSE)</f>
        <v>Ramesh Bhatt</v>
      </c>
      <c r="S603">
        <f t="shared" si="9"/>
        <v>0.39790209790209791</v>
      </c>
    </row>
    <row r="604" spans="1:19" x14ac:dyDescent="0.3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  <c r="L604" t="str">
        <f>VLOOKUP(D604,Products!$A:$F,3,FALSE)</f>
        <v>Beauty</v>
      </c>
      <c r="M604" t="b">
        <f>VLOOKUP(D604,Products!$A:$F,6,FALSE)</f>
        <v>1</v>
      </c>
      <c r="N604">
        <f>VLOOKUP(D604,Products!$A:$F,4,FALSE)</f>
        <v>2420</v>
      </c>
      <c r="O604" t="str">
        <f>VLOOKUP(C604,Customers!$A:$F,5,FALSE)</f>
        <v>Retail</v>
      </c>
      <c r="P604">
        <f>VLOOKUP(C604,Customers!$A:$F,3,FALSE)</f>
        <v>29</v>
      </c>
      <c r="Q604" t="str">
        <f>VLOOKUP(E604,Sales_Reps!$A:$E,3,FALSE)</f>
        <v>North</v>
      </c>
      <c r="R604" t="str">
        <f>VLOOKUP(E604,Sales_Reps!$A:$E,2,FALSE)</f>
        <v>Neha Desai</v>
      </c>
      <c r="S604">
        <f t="shared" si="9"/>
        <v>0.29855072463768118</v>
      </c>
    </row>
    <row r="605" spans="1:19" x14ac:dyDescent="0.3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  <c r="L605" t="str">
        <f>VLOOKUP(D605,Products!$A:$F,3,FALSE)</f>
        <v>Electronics</v>
      </c>
      <c r="M605" t="b">
        <f>VLOOKUP(D605,Products!$A:$F,6,FALSE)</f>
        <v>1</v>
      </c>
      <c r="N605">
        <f>VLOOKUP(D605,Products!$A:$F,4,FALSE)</f>
        <v>517</v>
      </c>
      <c r="O605" t="str">
        <f>VLOOKUP(C605,Customers!$A:$F,5,FALSE)</f>
        <v>SMB</v>
      </c>
      <c r="P605">
        <f>VLOOKUP(C605,Customers!$A:$F,3,FALSE)</f>
        <v>30</v>
      </c>
      <c r="Q605" t="str">
        <f>VLOOKUP(E605,Sales_Reps!$A:$E,3,FALSE)</f>
        <v>West</v>
      </c>
      <c r="R605" t="str">
        <f>VLOOKUP(E605,Sales_Reps!$A:$E,2,FALSE)</f>
        <v>Sonia Malhotra</v>
      </c>
      <c r="S605">
        <f t="shared" si="9"/>
        <v>0.57622950819672136</v>
      </c>
    </row>
    <row r="606" spans="1:19" x14ac:dyDescent="0.3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  <c r="L606" t="str">
        <f>VLOOKUP(D606,Products!$A:$F,3,FALSE)</f>
        <v>Grocery</v>
      </c>
      <c r="M606" t="b">
        <f>VLOOKUP(D606,Products!$A:$F,6,FALSE)</f>
        <v>1</v>
      </c>
      <c r="N606">
        <f>VLOOKUP(D606,Products!$A:$F,4,FALSE)</f>
        <v>1435</v>
      </c>
      <c r="O606" t="str">
        <f>VLOOKUP(C606,Customers!$A:$F,5,FALSE)</f>
        <v>Retail</v>
      </c>
      <c r="P606">
        <f>VLOOKUP(C606,Customers!$A:$F,3,FALSE)</f>
        <v>47</v>
      </c>
      <c r="Q606" t="str">
        <f>VLOOKUP(E606,Sales_Reps!$A:$E,3,FALSE)</f>
        <v>East</v>
      </c>
      <c r="R606" t="str">
        <f>VLOOKUP(E606,Sales_Reps!$A:$E,2,FALSE)</f>
        <v>Meera Iyer</v>
      </c>
      <c r="S606">
        <f t="shared" si="9"/>
        <v>0.48007246376811596</v>
      </c>
    </row>
    <row r="607" spans="1:19" x14ac:dyDescent="0.3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  <c r="L607" t="str">
        <f>VLOOKUP(D607,Products!$A:$F,3,FALSE)</f>
        <v>Beauty</v>
      </c>
      <c r="M607" t="b">
        <f>VLOOKUP(D607,Products!$A:$F,6,FALSE)</f>
        <v>1</v>
      </c>
      <c r="N607">
        <f>VLOOKUP(D607,Products!$A:$F,4,FALSE)</f>
        <v>1728</v>
      </c>
      <c r="O607" t="str">
        <f>VLOOKUP(C607,Customers!$A:$F,5,FALSE)</f>
        <v>SMB</v>
      </c>
      <c r="P607">
        <f>VLOOKUP(C607,Customers!$A:$F,3,FALSE)</f>
        <v>54</v>
      </c>
      <c r="Q607" t="str">
        <f>VLOOKUP(E607,Sales_Reps!$A:$E,3,FALSE)</f>
        <v>East</v>
      </c>
      <c r="R607" t="str">
        <f>VLOOKUP(E607,Sales_Reps!$A:$E,2,FALSE)</f>
        <v>Naveen Singh</v>
      </c>
      <c r="S607">
        <f t="shared" si="9"/>
        <v>0.48417910447761192</v>
      </c>
    </row>
    <row r="608" spans="1:19" x14ac:dyDescent="0.3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  <c r="L608" t="str">
        <f>VLOOKUP(D608,Products!$A:$F,3,FALSE)</f>
        <v>Beauty</v>
      </c>
      <c r="M608" t="b">
        <f>VLOOKUP(D608,Products!$A:$F,6,FALSE)</f>
        <v>1</v>
      </c>
      <c r="N608">
        <f>VLOOKUP(D608,Products!$A:$F,4,FALSE)</f>
        <v>2237</v>
      </c>
      <c r="O608" t="str">
        <f>VLOOKUP(C608,Customers!$A:$F,5,FALSE)</f>
        <v>SMB</v>
      </c>
      <c r="P608">
        <f>VLOOKUP(C608,Customers!$A:$F,3,FALSE)</f>
        <v>34</v>
      </c>
      <c r="Q608" t="str">
        <f>VLOOKUP(E608,Sales_Reps!$A:$E,3,FALSE)</f>
        <v>South</v>
      </c>
      <c r="R608" t="str">
        <f>VLOOKUP(E608,Sales_Reps!$A:$E,2,FALSE)</f>
        <v>Sanjay Kapoor</v>
      </c>
      <c r="S608">
        <f t="shared" si="9"/>
        <v>0.56137254901960787</v>
      </c>
    </row>
    <row r="609" spans="1:19" x14ac:dyDescent="0.3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  <c r="L609" t="str">
        <f>VLOOKUP(D609,Products!$A:$F,3,FALSE)</f>
        <v>Electronics</v>
      </c>
      <c r="M609" t="b">
        <f>VLOOKUP(D609,Products!$A:$F,6,FALSE)</f>
        <v>1</v>
      </c>
      <c r="N609">
        <f>VLOOKUP(D609,Products!$A:$F,4,FALSE)</f>
        <v>1149</v>
      </c>
      <c r="O609" t="str">
        <f>VLOOKUP(C609,Customers!$A:$F,5,FALSE)</f>
        <v>Retail</v>
      </c>
      <c r="P609">
        <f>VLOOKUP(C609,Customers!$A:$F,3,FALSE)</f>
        <v>49</v>
      </c>
      <c r="Q609" t="str">
        <f>VLOOKUP(E609,Sales_Reps!$A:$E,3,FALSE)</f>
        <v>West</v>
      </c>
      <c r="R609" t="str">
        <f>VLOOKUP(E609,Sales_Reps!$A:$E,2,FALSE)</f>
        <v>Ramesh Bhatt</v>
      </c>
      <c r="S609">
        <f t="shared" si="9"/>
        <v>0.56477272727272732</v>
      </c>
    </row>
    <row r="610" spans="1:19" x14ac:dyDescent="0.3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  <c r="L610" t="str">
        <f>VLOOKUP(D610,Products!$A:$F,3,FALSE)</f>
        <v>Grocery</v>
      </c>
      <c r="M610" t="b">
        <f>VLOOKUP(D610,Products!$A:$F,6,FALSE)</f>
        <v>0</v>
      </c>
      <c r="N610">
        <f>VLOOKUP(D610,Products!$A:$F,4,FALSE)</f>
        <v>2214</v>
      </c>
      <c r="O610" t="str">
        <f>VLOOKUP(C610,Customers!$A:$F,5,FALSE)</f>
        <v>Retail</v>
      </c>
      <c r="P610">
        <f>VLOOKUP(C610,Customers!$A:$F,3,FALSE)</f>
        <v>39</v>
      </c>
      <c r="Q610" t="str">
        <f>VLOOKUP(E610,Sales_Reps!$A:$E,3,FALSE)</f>
        <v>South</v>
      </c>
      <c r="R610" t="str">
        <f>VLOOKUP(E610,Sales_Reps!$A:$E,2,FALSE)</f>
        <v>Anjali Chopra</v>
      </c>
      <c r="S610">
        <f t="shared" si="9"/>
        <v>0.39508196721311473</v>
      </c>
    </row>
    <row r="611" spans="1:19" x14ac:dyDescent="0.3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  <c r="L611" t="str">
        <f>VLOOKUP(D611,Products!$A:$F,3,FALSE)</f>
        <v>Home</v>
      </c>
      <c r="M611" t="b">
        <f>VLOOKUP(D611,Products!$A:$F,6,FALSE)</f>
        <v>1</v>
      </c>
      <c r="N611">
        <f>VLOOKUP(D611,Products!$A:$F,4,FALSE)</f>
        <v>288</v>
      </c>
      <c r="O611" t="str">
        <f>VLOOKUP(C611,Customers!$A:$F,5,FALSE)</f>
        <v>Retail</v>
      </c>
      <c r="P611">
        <f>VLOOKUP(C611,Customers!$A:$F,3,FALSE)</f>
        <v>44</v>
      </c>
      <c r="Q611" t="str">
        <f>VLOOKUP(E611,Sales_Reps!$A:$E,3,FALSE)</f>
        <v>West</v>
      </c>
      <c r="R611" t="str">
        <f>VLOOKUP(E611,Sales_Reps!$A:$E,2,FALSE)</f>
        <v>Ramesh Bhatt</v>
      </c>
      <c r="S611">
        <f t="shared" si="9"/>
        <v>0.22162162162162163</v>
      </c>
    </row>
    <row r="612" spans="1:19" x14ac:dyDescent="0.3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  <c r="L612" t="str">
        <f>VLOOKUP(D612,Products!$A:$F,3,FALSE)</f>
        <v>Apparel</v>
      </c>
      <c r="M612" t="b">
        <f>VLOOKUP(D612,Products!$A:$F,6,FALSE)</f>
        <v>1</v>
      </c>
      <c r="N612">
        <f>VLOOKUP(D612,Products!$A:$F,4,FALSE)</f>
        <v>396</v>
      </c>
      <c r="O612" t="str">
        <f>VLOOKUP(C612,Customers!$A:$F,5,FALSE)</f>
        <v>SMB</v>
      </c>
      <c r="P612">
        <f>VLOOKUP(C612,Customers!$A:$F,3,FALSE)</f>
        <v>28</v>
      </c>
      <c r="Q612" t="str">
        <f>VLOOKUP(E612,Sales_Reps!$A:$E,3,FALSE)</f>
        <v>West</v>
      </c>
      <c r="R612" t="str">
        <f>VLOOKUP(E612,Sales_Reps!$A:$E,2,FALSE)</f>
        <v>Ashok Reddy</v>
      </c>
      <c r="S612">
        <f t="shared" si="9"/>
        <v>0.36129032258064514</v>
      </c>
    </row>
    <row r="613" spans="1:19" x14ac:dyDescent="0.3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  <c r="L613" t="str">
        <f>VLOOKUP(D613,Products!$A:$F,3,FALSE)</f>
        <v>Sports</v>
      </c>
      <c r="M613" t="b">
        <f>VLOOKUP(D613,Products!$A:$F,6,FALSE)</f>
        <v>0</v>
      </c>
      <c r="N613">
        <f>VLOOKUP(D613,Products!$A:$F,4,FALSE)</f>
        <v>302</v>
      </c>
      <c r="O613" t="str">
        <f>VLOOKUP(C613,Customers!$A:$F,5,FALSE)</f>
        <v>Retail</v>
      </c>
      <c r="P613">
        <f>VLOOKUP(C613,Customers!$A:$F,3,FALSE)</f>
        <v>65</v>
      </c>
      <c r="Q613" t="str">
        <f>VLOOKUP(E613,Sales_Reps!$A:$E,3,FALSE)</f>
        <v>East</v>
      </c>
      <c r="R613" t="str">
        <f>VLOOKUP(E613,Sales_Reps!$A:$E,2,FALSE)</f>
        <v>Shalini Patel</v>
      </c>
      <c r="S613">
        <f t="shared" si="9"/>
        <v>0.35744680851063831</v>
      </c>
    </row>
    <row r="614" spans="1:19" x14ac:dyDescent="0.3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  <c r="L614" t="str">
        <f>VLOOKUP(D614,Products!$A:$F,3,FALSE)</f>
        <v>Beauty</v>
      </c>
      <c r="M614" t="b">
        <f>VLOOKUP(D614,Products!$A:$F,6,FALSE)</f>
        <v>1</v>
      </c>
      <c r="N614">
        <f>VLOOKUP(D614,Products!$A:$F,4,FALSE)</f>
        <v>1219</v>
      </c>
      <c r="O614" t="str">
        <f>VLOOKUP(C614,Customers!$A:$F,5,FALSE)</f>
        <v>Retail</v>
      </c>
      <c r="P614">
        <f>VLOOKUP(C614,Customers!$A:$F,3,FALSE)</f>
        <v>40</v>
      </c>
      <c r="Q614" t="str">
        <f>VLOOKUP(E614,Sales_Reps!$A:$E,3,FALSE)</f>
        <v>North</v>
      </c>
      <c r="R614" t="str">
        <f>VLOOKUP(E614,Sales_Reps!$A:$E,2,FALSE)</f>
        <v>Vikram Patel</v>
      </c>
      <c r="S614">
        <f t="shared" si="9"/>
        <v>0.46768558951965067</v>
      </c>
    </row>
    <row r="615" spans="1:19" x14ac:dyDescent="0.3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  <c r="L615" t="str">
        <f>VLOOKUP(D615,Products!$A:$F,3,FALSE)</f>
        <v>Sports</v>
      </c>
      <c r="M615" t="b">
        <f>VLOOKUP(D615,Products!$A:$F,6,FALSE)</f>
        <v>1</v>
      </c>
      <c r="N615">
        <f>VLOOKUP(D615,Products!$A:$F,4,FALSE)</f>
        <v>705</v>
      </c>
      <c r="O615" t="str">
        <f>VLOOKUP(C615,Customers!$A:$F,5,FALSE)</f>
        <v>SMB</v>
      </c>
      <c r="P615">
        <f>VLOOKUP(C615,Customers!$A:$F,3,FALSE)</f>
        <v>53</v>
      </c>
      <c r="Q615" t="str">
        <f>VLOOKUP(E615,Sales_Reps!$A:$E,3,FALSE)</f>
        <v>West</v>
      </c>
      <c r="R615" t="str">
        <f>VLOOKUP(E615,Sales_Reps!$A:$E,2,FALSE)</f>
        <v>Rekha Chopra</v>
      </c>
      <c r="S615">
        <f t="shared" si="9"/>
        <v>0.265625</v>
      </c>
    </row>
    <row r="616" spans="1:19" x14ac:dyDescent="0.3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  <c r="L616" t="str">
        <f>VLOOKUP(D616,Products!$A:$F,3,FALSE)</f>
        <v>Grocery</v>
      </c>
      <c r="M616" t="b">
        <f>VLOOKUP(D616,Products!$A:$F,6,FALSE)</f>
        <v>0</v>
      </c>
      <c r="N616">
        <f>VLOOKUP(D616,Products!$A:$F,4,FALSE)</f>
        <v>2214</v>
      </c>
      <c r="O616" t="str">
        <f>VLOOKUP(C616,Customers!$A:$F,5,FALSE)</f>
        <v>Retail</v>
      </c>
      <c r="P616">
        <f>VLOOKUP(C616,Customers!$A:$F,3,FALSE)</f>
        <v>65</v>
      </c>
      <c r="Q616" t="str">
        <f>VLOOKUP(E616,Sales_Reps!$A:$E,3,FALSE)</f>
        <v>South</v>
      </c>
      <c r="R616" t="str">
        <f>VLOOKUP(E616,Sales_Reps!$A:$E,2,FALSE)</f>
        <v>Divya Rao</v>
      </c>
      <c r="S616">
        <f t="shared" si="9"/>
        <v>0.39508196721311473</v>
      </c>
    </row>
    <row r="617" spans="1:19" x14ac:dyDescent="0.3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  <c r="L617" t="str">
        <f>VLOOKUP(D617,Products!$A:$F,3,FALSE)</f>
        <v>Electronics</v>
      </c>
      <c r="M617" t="b">
        <f>VLOOKUP(D617,Products!$A:$F,6,FALSE)</f>
        <v>1</v>
      </c>
      <c r="N617">
        <f>VLOOKUP(D617,Products!$A:$F,4,FALSE)</f>
        <v>1665</v>
      </c>
      <c r="O617" t="str">
        <f>VLOOKUP(C617,Customers!$A:$F,5,FALSE)</f>
        <v>SMB</v>
      </c>
      <c r="P617">
        <f>VLOOKUP(C617,Customers!$A:$F,3,FALSE)</f>
        <v>65</v>
      </c>
      <c r="Q617" t="str">
        <f>VLOOKUP(E617,Sales_Reps!$A:$E,3,FALSE)</f>
        <v>East</v>
      </c>
      <c r="R617" t="str">
        <f>VLOOKUP(E617,Sales_Reps!$A:$E,2,FALSE)</f>
        <v>Prakash Shah</v>
      </c>
      <c r="S617">
        <f t="shared" si="9"/>
        <v>0.53361344537815125</v>
      </c>
    </row>
    <row r="618" spans="1:19" x14ac:dyDescent="0.3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  <c r="L618" t="str">
        <f>VLOOKUP(D618,Products!$A:$F,3,FALSE)</f>
        <v>Home</v>
      </c>
      <c r="M618" t="b">
        <f>VLOOKUP(D618,Products!$A:$F,6,FALSE)</f>
        <v>1</v>
      </c>
      <c r="N618">
        <f>VLOOKUP(D618,Products!$A:$F,4,FALSE)</f>
        <v>1143</v>
      </c>
      <c r="O618" t="str">
        <f>VLOOKUP(C618,Customers!$A:$F,5,FALSE)</f>
        <v>Retail</v>
      </c>
      <c r="P618">
        <f>VLOOKUP(C618,Customers!$A:$F,3,FALSE)</f>
        <v>36</v>
      </c>
      <c r="Q618" t="str">
        <f>VLOOKUP(E618,Sales_Reps!$A:$E,3,FALSE)</f>
        <v>East</v>
      </c>
      <c r="R618" t="str">
        <f>VLOOKUP(E618,Sales_Reps!$A:$E,2,FALSE)</f>
        <v>Naveen Singh</v>
      </c>
      <c r="S618">
        <f t="shared" si="9"/>
        <v>0.43694581280788175</v>
      </c>
    </row>
    <row r="619" spans="1:19" x14ac:dyDescent="0.3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  <c r="L619" t="str">
        <f>VLOOKUP(D619,Products!$A:$F,3,FALSE)</f>
        <v>Apparel</v>
      </c>
      <c r="M619" t="b">
        <f>VLOOKUP(D619,Products!$A:$F,6,FALSE)</f>
        <v>1</v>
      </c>
      <c r="N619">
        <f>VLOOKUP(D619,Products!$A:$F,4,FALSE)</f>
        <v>1962</v>
      </c>
      <c r="O619" t="str">
        <f>VLOOKUP(C619,Customers!$A:$F,5,FALSE)</f>
        <v>SMB</v>
      </c>
      <c r="P619">
        <f>VLOOKUP(C619,Customers!$A:$F,3,FALSE)</f>
        <v>44</v>
      </c>
      <c r="Q619" t="str">
        <f>VLOOKUP(E619,Sales_Reps!$A:$E,3,FALSE)</f>
        <v>West</v>
      </c>
      <c r="R619" t="str">
        <f>VLOOKUP(E619,Sales_Reps!$A:$E,2,FALSE)</f>
        <v>Rekha Chopra</v>
      </c>
      <c r="S619">
        <f t="shared" si="9"/>
        <v>0.2786764705882353</v>
      </c>
    </row>
    <row r="620" spans="1:19" x14ac:dyDescent="0.3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  <c r="L620" t="str">
        <f>VLOOKUP(D620,Products!$A:$F,3,FALSE)</f>
        <v>Electronics</v>
      </c>
      <c r="M620" t="b">
        <f>VLOOKUP(D620,Products!$A:$F,6,FALSE)</f>
        <v>1</v>
      </c>
      <c r="N620">
        <f>VLOOKUP(D620,Products!$A:$F,4,FALSE)</f>
        <v>1665</v>
      </c>
      <c r="O620" t="str">
        <f>VLOOKUP(C620,Customers!$A:$F,5,FALSE)</f>
        <v>Retail</v>
      </c>
      <c r="P620">
        <f>VLOOKUP(C620,Customers!$A:$F,3,FALSE)</f>
        <v>56</v>
      </c>
      <c r="Q620" t="str">
        <f>VLOOKUP(E620,Sales_Reps!$A:$E,3,FALSE)</f>
        <v>North</v>
      </c>
      <c r="R620" t="str">
        <f>VLOOKUP(E620,Sales_Reps!$A:$E,2,FALSE)</f>
        <v>Kavita Patel</v>
      </c>
      <c r="S620">
        <f t="shared" si="9"/>
        <v>0.53361344537815125</v>
      </c>
    </row>
    <row r="621" spans="1:19" x14ac:dyDescent="0.3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  <c r="L621" t="str">
        <f>VLOOKUP(D621,Products!$A:$F,3,FALSE)</f>
        <v>Sports</v>
      </c>
      <c r="M621" t="b">
        <f>VLOOKUP(D621,Products!$A:$F,6,FALSE)</f>
        <v>1</v>
      </c>
      <c r="N621">
        <f>VLOOKUP(D621,Products!$A:$F,4,FALSE)</f>
        <v>974</v>
      </c>
      <c r="O621" t="str">
        <f>VLOOKUP(C621,Customers!$A:$F,5,FALSE)</f>
        <v>Retail</v>
      </c>
      <c r="P621">
        <f>VLOOKUP(C621,Customers!$A:$F,3,FALSE)</f>
        <v>36</v>
      </c>
      <c r="Q621" t="str">
        <f>VLOOKUP(E621,Sales_Reps!$A:$E,3,FALSE)</f>
        <v>North</v>
      </c>
      <c r="R621" t="str">
        <f>VLOOKUP(E621,Sales_Reps!$A:$E,2,FALSE)</f>
        <v>Rajesh Malhotra</v>
      </c>
      <c r="S621">
        <f t="shared" si="9"/>
        <v>0.59416666666666662</v>
      </c>
    </row>
    <row r="622" spans="1:19" x14ac:dyDescent="0.3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  <c r="L622" t="str">
        <f>VLOOKUP(D622,Products!$A:$F,3,FALSE)</f>
        <v>Grocery</v>
      </c>
      <c r="M622" t="b">
        <f>VLOOKUP(D622,Products!$A:$F,6,FALSE)</f>
        <v>1</v>
      </c>
      <c r="N622">
        <f>VLOOKUP(D622,Products!$A:$F,4,FALSE)</f>
        <v>1203</v>
      </c>
      <c r="O622" t="str">
        <f>VLOOKUP(C622,Customers!$A:$F,5,FALSE)</f>
        <v>SMB</v>
      </c>
      <c r="P622">
        <f>VLOOKUP(C622,Customers!$A:$F,3,FALSE)</f>
        <v>53</v>
      </c>
      <c r="Q622" t="str">
        <f>VLOOKUP(E622,Sales_Reps!$A:$E,3,FALSE)</f>
        <v>North</v>
      </c>
      <c r="R622" t="str">
        <f>VLOOKUP(E622,Sales_Reps!$A:$E,2,FALSE)</f>
        <v>Sunita Malhotra</v>
      </c>
      <c r="S622">
        <f t="shared" si="9"/>
        <v>0.47004405286343615</v>
      </c>
    </row>
    <row r="623" spans="1:19" x14ac:dyDescent="0.3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  <c r="L623" t="str">
        <f>VLOOKUP(D623,Products!$A:$F,3,FALSE)</f>
        <v>Grocery</v>
      </c>
      <c r="M623" t="b">
        <f>VLOOKUP(D623,Products!$A:$F,6,FALSE)</f>
        <v>1</v>
      </c>
      <c r="N623">
        <f>VLOOKUP(D623,Products!$A:$F,4,FALSE)</f>
        <v>434</v>
      </c>
      <c r="O623" t="str">
        <f>VLOOKUP(C623,Customers!$A:$F,5,FALSE)</f>
        <v>Corporate</v>
      </c>
      <c r="P623">
        <f>VLOOKUP(C623,Customers!$A:$F,3,FALSE)</f>
        <v>46</v>
      </c>
      <c r="Q623" t="str">
        <f>VLOOKUP(E623,Sales_Reps!$A:$E,3,FALSE)</f>
        <v>South</v>
      </c>
      <c r="R623" t="str">
        <f>VLOOKUP(E623,Sales_Reps!$A:$E,2,FALSE)</f>
        <v>Pooja Nair</v>
      </c>
      <c r="S623">
        <f t="shared" si="9"/>
        <v>0.5525773195876289</v>
      </c>
    </row>
    <row r="624" spans="1:19" x14ac:dyDescent="0.3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  <c r="L624" t="str">
        <f>VLOOKUP(D624,Products!$A:$F,3,FALSE)</f>
        <v>Sports</v>
      </c>
      <c r="M624" t="b">
        <f>VLOOKUP(D624,Products!$A:$F,6,FALSE)</f>
        <v>1</v>
      </c>
      <c r="N624">
        <f>VLOOKUP(D624,Products!$A:$F,4,FALSE)</f>
        <v>2827</v>
      </c>
      <c r="O624" t="str">
        <f>VLOOKUP(C624,Customers!$A:$F,5,FALSE)</f>
        <v>SMB</v>
      </c>
      <c r="P624">
        <f>VLOOKUP(C624,Customers!$A:$F,3,FALSE)</f>
        <v>43</v>
      </c>
      <c r="Q624" t="str">
        <f>VLOOKUP(E624,Sales_Reps!$A:$E,3,FALSE)</f>
        <v>East</v>
      </c>
      <c r="R624" t="str">
        <f>VLOOKUP(E624,Sales_Reps!$A:$E,2,FALSE)</f>
        <v>Shalini Patel</v>
      </c>
      <c r="S624">
        <f t="shared" si="9"/>
        <v>0.5926512968299712</v>
      </c>
    </row>
    <row r="625" spans="1:19" x14ac:dyDescent="0.3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  <c r="L625" t="str">
        <f>VLOOKUP(D625,Products!$A:$F,3,FALSE)</f>
        <v>Sports</v>
      </c>
      <c r="M625" t="b">
        <f>VLOOKUP(D625,Products!$A:$F,6,FALSE)</f>
        <v>1</v>
      </c>
      <c r="N625">
        <f>VLOOKUP(D625,Products!$A:$F,4,FALSE)</f>
        <v>2827</v>
      </c>
      <c r="O625" t="str">
        <f>VLOOKUP(C625,Customers!$A:$F,5,FALSE)</f>
        <v>Retail</v>
      </c>
      <c r="P625">
        <f>VLOOKUP(C625,Customers!$A:$F,3,FALSE)</f>
        <v>53</v>
      </c>
      <c r="Q625" t="str">
        <f>VLOOKUP(E625,Sales_Reps!$A:$E,3,FALSE)</f>
        <v>South</v>
      </c>
      <c r="R625" t="str">
        <f>VLOOKUP(E625,Sales_Reps!$A:$E,2,FALSE)</f>
        <v>Manoj Patel</v>
      </c>
      <c r="S625">
        <f t="shared" si="9"/>
        <v>0.5926512968299712</v>
      </c>
    </row>
    <row r="626" spans="1:19" x14ac:dyDescent="0.3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  <c r="L626" t="str">
        <f>VLOOKUP(D626,Products!$A:$F,3,FALSE)</f>
        <v>Sports</v>
      </c>
      <c r="M626" t="b">
        <f>VLOOKUP(D626,Products!$A:$F,6,FALSE)</f>
        <v>1</v>
      </c>
      <c r="N626">
        <f>VLOOKUP(D626,Products!$A:$F,4,FALSE)</f>
        <v>516</v>
      </c>
      <c r="O626" t="str">
        <f>VLOOKUP(C626,Customers!$A:$F,5,FALSE)</f>
        <v>Retail</v>
      </c>
      <c r="P626">
        <f>VLOOKUP(C626,Customers!$A:$F,3,FALSE)</f>
        <v>25</v>
      </c>
      <c r="Q626" t="str">
        <f>VLOOKUP(E626,Sales_Reps!$A:$E,3,FALSE)</f>
        <v>North</v>
      </c>
      <c r="R626" t="str">
        <f>VLOOKUP(E626,Sales_Reps!$A:$E,2,FALSE)</f>
        <v>Neha Desai</v>
      </c>
      <c r="S626">
        <f t="shared" si="9"/>
        <v>0.4891089108910891</v>
      </c>
    </row>
    <row r="627" spans="1:19" x14ac:dyDescent="0.3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  <c r="L627" t="str">
        <f>VLOOKUP(D627,Products!$A:$F,3,FALSE)</f>
        <v>Electronics</v>
      </c>
      <c r="M627" t="b">
        <f>VLOOKUP(D627,Products!$A:$F,6,FALSE)</f>
        <v>1</v>
      </c>
      <c r="N627">
        <f>VLOOKUP(D627,Products!$A:$F,4,FALSE)</f>
        <v>1559</v>
      </c>
      <c r="O627" t="str">
        <f>VLOOKUP(C627,Customers!$A:$F,5,FALSE)</f>
        <v>Retail</v>
      </c>
      <c r="P627">
        <f>VLOOKUP(C627,Customers!$A:$F,3,FALSE)</f>
        <v>35</v>
      </c>
      <c r="Q627" t="str">
        <f>VLOOKUP(E627,Sales_Reps!$A:$E,3,FALSE)</f>
        <v>North</v>
      </c>
      <c r="R627" t="str">
        <f>VLOOKUP(E627,Sales_Reps!$A:$E,2,FALSE)</f>
        <v>Suresh Menon</v>
      </c>
      <c r="S627">
        <f t="shared" si="9"/>
        <v>0.59715762273901807</v>
      </c>
    </row>
    <row r="628" spans="1:19" x14ac:dyDescent="0.3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  <c r="L628" t="str">
        <f>VLOOKUP(D628,Products!$A:$F,3,FALSE)</f>
        <v>Beauty</v>
      </c>
      <c r="M628" t="b">
        <f>VLOOKUP(D628,Products!$A:$F,6,FALSE)</f>
        <v>1</v>
      </c>
      <c r="N628">
        <f>VLOOKUP(D628,Products!$A:$F,4,FALSE)</f>
        <v>2237</v>
      </c>
      <c r="O628" t="str">
        <f>VLOOKUP(C628,Customers!$A:$F,5,FALSE)</f>
        <v>SMB</v>
      </c>
      <c r="P628">
        <f>VLOOKUP(C628,Customers!$A:$F,3,FALSE)</f>
        <v>48</v>
      </c>
      <c r="Q628" t="str">
        <f>VLOOKUP(E628,Sales_Reps!$A:$E,3,FALSE)</f>
        <v>South</v>
      </c>
      <c r="R628" t="str">
        <f>VLOOKUP(E628,Sales_Reps!$A:$E,2,FALSE)</f>
        <v>Anil Verma</v>
      </c>
      <c r="S628">
        <f t="shared" si="9"/>
        <v>0.56137254901960787</v>
      </c>
    </row>
    <row r="629" spans="1:19" x14ac:dyDescent="0.3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  <c r="L629" t="str">
        <f>VLOOKUP(D629,Products!$A:$F,3,FALSE)</f>
        <v>Apparel</v>
      </c>
      <c r="M629" t="b">
        <f>VLOOKUP(D629,Products!$A:$F,6,FALSE)</f>
        <v>1</v>
      </c>
      <c r="N629">
        <f>VLOOKUP(D629,Products!$A:$F,4,FALSE)</f>
        <v>1886</v>
      </c>
      <c r="O629" t="str">
        <f>VLOOKUP(C629,Customers!$A:$F,5,FALSE)</f>
        <v>Retail</v>
      </c>
      <c r="P629">
        <f>VLOOKUP(C629,Customers!$A:$F,3,FALSE)</f>
        <v>65</v>
      </c>
      <c r="Q629" t="str">
        <f>VLOOKUP(E629,Sales_Reps!$A:$E,3,FALSE)</f>
        <v>North</v>
      </c>
      <c r="R629" t="str">
        <f>VLOOKUP(E629,Sales_Reps!$A:$E,2,FALSE)</f>
        <v>Kavita Patel</v>
      </c>
      <c r="S629">
        <f t="shared" si="9"/>
        <v>0.4031645569620253</v>
      </c>
    </row>
    <row r="630" spans="1:19" x14ac:dyDescent="0.3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  <c r="L630" t="str">
        <f>VLOOKUP(D630,Products!$A:$F,3,FALSE)</f>
        <v>Grocery</v>
      </c>
      <c r="M630" t="b">
        <f>VLOOKUP(D630,Products!$A:$F,6,FALSE)</f>
        <v>1</v>
      </c>
      <c r="N630">
        <f>VLOOKUP(D630,Products!$A:$F,4,FALSE)</f>
        <v>1010</v>
      </c>
      <c r="O630" t="str">
        <f>VLOOKUP(C630,Customers!$A:$F,5,FALSE)</f>
        <v>SMB</v>
      </c>
      <c r="P630">
        <f>VLOOKUP(C630,Customers!$A:$F,3,FALSE)</f>
        <v>47</v>
      </c>
      <c r="Q630" t="str">
        <f>VLOOKUP(E630,Sales_Reps!$A:$E,3,FALSE)</f>
        <v>South</v>
      </c>
      <c r="R630" t="str">
        <f>VLOOKUP(E630,Sales_Reps!$A:$E,2,FALSE)</f>
        <v>Anil Verma</v>
      </c>
      <c r="S630">
        <f t="shared" si="9"/>
        <v>0.54298642533936647</v>
      </c>
    </row>
    <row r="631" spans="1:19" x14ac:dyDescent="0.3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  <c r="L631" t="str">
        <f>VLOOKUP(D631,Products!$A:$F,3,FALSE)</f>
        <v>Apparel</v>
      </c>
      <c r="M631" t="b">
        <f>VLOOKUP(D631,Products!$A:$F,6,FALSE)</f>
        <v>1</v>
      </c>
      <c r="N631">
        <f>VLOOKUP(D631,Products!$A:$F,4,FALSE)</f>
        <v>2629</v>
      </c>
      <c r="O631" t="str">
        <f>VLOOKUP(C631,Customers!$A:$F,5,FALSE)</f>
        <v>SMB</v>
      </c>
      <c r="P631">
        <f>VLOOKUP(C631,Customers!$A:$F,3,FALSE)</f>
        <v>53</v>
      </c>
      <c r="Q631" t="str">
        <f>VLOOKUP(E631,Sales_Reps!$A:$E,3,FALSE)</f>
        <v>West</v>
      </c>
      <c r="R631" t="str">
        <f>VLOOKUP(E631,Sales_Reps!$A:$E,2,FALSE)</f>
        <v>Sonia Malhotra</v>
      </c>
      <c r="S631">
        <f t="shared" si="9"/>
        <v>0.26151685393258428</v>
      </c>
    </row>
    <row r="632" spans="1:19" x14ac:dyDescent="0.3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  <c r="L632" t="str">
        <f>VLOOKUP(D632,Products!$A:$F,3,FALSE)</f>
        <v>Apparel</v>
      </c>
      <c r="M632" t="b">
        <f>VLOOKUP(D632,Products!$A:$F,6,FALSE)</f>
        <v>1</v>
      </c>
      <c r="N632">
        <f>VLOOKUP(D632,Products!$A:$F,4,FALSE)</f>
        <v>396</v>
      </c>
      <c r="O632" t="str">
        <f>VLOOKUP(C632,Customers!$A:$F,5,FALSE)</f>
        <v>Retail</v>
      </c>
      <c r="P632">
        <f>VLOOKUP(C632,Customers!$A:$F,3,FALSE)</f>
        <v>27</v>
      </c>
      <c r="Q632" t="str">
        <f>VLOOKUP(E632,Sales_Reps!$A:$E,3,FALSE)</f>
        <v>South</v>
      </c>
      <c r="R632" t="str">
        <f>VLOOKUP(E632,Sales_Reps!$A:$E,2,FALSE)</f>
        <v>Divya Rao</v>
      </c>
      <c r="S632">
        <f t="shared" si="9"/>
        <v>0.36129032258064514</v>
      </c>
    </row>
    <row r="633" spans="1:19" x14ac:dyDescent="0.3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  <c r="L633" t="str">
        <f>VLOOKUP(D633,Products!$A:$F,3,FALSE)</f>
        <v>Grocery</v>
      </c>
      <c r="M633" t="b">
        <f>VLOOKUP(D633,Products!$A:$F,6,FALSE)</f>
        <v>1</v>
      </c>
      <c r="N633">
        <f>VLOOKUP(D633,Products!$A:$F,4,FALSE)</f>
        <v>1435</v>
      </c>
      <c r="O633" t="str">
        <f>VLOOKUP(C633,Customers!$A:$F,5,FALSE)</f>
        <v>Retail</v>
      </c>
      <c r="P633">
        <f>VLOOKUP(C633,Customers!$A:$F,3,FALSE)</f>
        <v>65</v>
      </c>
      <c r="Q633" t="str">
        <f>VLOOKUP(E633,Sales_Reps!$A:$E,3,FALSE)</f>
        <v>North</v>
      </c>
      <c r="R633" t="str">
        <f>VLOOKUP(E633,Sales_Reps!$A:$E,2,FALSE)</f>
        <v>Sunita Malhotra</v>
      </c>
      <c r="S633">
        <f t="shared" si="9"/>
        <v>0.48007246376811596</v>
      </c>
    </row>
    <row r="634" spans="1:19" x14ac:dyDescent="0.3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  <c r="L634" t="str">
        <f>VLOOKUP(D634,Products!$A:$F,3,FALSE)</f>
        <v>Sports</v>
      </c>
      <c r="M634" t="b">
        <f>VLOOKUP(D634,Products!$A:$F,6,FALSE)</f>
        <v>1</v>
      </c>
      <c r="N634">
        <f>VLOOKUP(D634,Products!$A:$F,4,FALSE)</f>
        <v>516</v>
      </c>
      <c r="O634" t="str">
        <f>VLOOKUP(C634,Customers!$A:$F,5,FALSE)</f>
        <v>SMB</v>
      </c>
      <c r="P634">
        <f>VLOOKUP(C634,Customers!$A:$F,3,FALSE)</f>
        <v>50</v>
      </c>
      <c r="Q634" t="str">
        <f>VLOOKUP(E634,Sales_Reps!$A:$E,3,FALSE)</f>
        <v>North</v>
      </c>
      <c r="R634" t="str">
        <f>VLOOKUP(E634,Sales_Reps!$A:$E,2,FALSE)</f>
        <v>Vikram Patel</v>
      </c>
      <c r="S634">
        <f t="shared" si="9"/>
        <v>0.4891089108910891</v>
      </c>
    </row>
    <row r="635" spans="1:19" x14ac:dyDescent="0.3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  <c r="L635" t="str">
        <f>VLOOKUP(D635,Products!$A:$F,3,FALSE)</f>
        <v>Apparel</v>
      </c>
      <c r="M635" t="b">
        <f>VLOOKUP(D635,Products!$A:$F,6,FALSE)</f>
        <v>1</v>
      </c>
      <c r="N635">
        <f>VLOOKUP(D635,Products!$A:$F,4,FALSE)</f>
        <v>2611</v>
      </c>
      <c r="O635" t="str">
        <f>VLOOKUP(C635,Customers!$A:$F,5,FALSE)</f>
        <v>SMB</v>
      </c>
      <c r="P635">
        <f>VLOOKUP(C635,Customers!$A:$F,3,FALSE)</f>
        <v>40</v>
      </c>
      <c r="Q635" t="str">
        <f>VLOOKUP(E635,Sales_Reps!$A:$E,3,FALSE)</f>
        <v>North</v>
      </c>
      <c r="R635" t="str">
        <f>VLOOKUP(E635,Sales_Reps!$A:$E,2,FALSE)</f>
        <v>Sunita Malhotra</v>
      </c>
      <c r="S635">
        <f t="shared" si="9"/>
        <v>0.28269230769230769</v>
      </c>
    </row>
    <row r="636" spans="1:19" x14ac:dyDescent="0.3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  <c r="L636" t="str">
        <f>VLOOKUP(D636,Products!$A:$F,3,FALSE)</f>
        <v>Apparel</v>
      </c>
      <c r="M636" t="b">
        <f>VLOOKUP(D636,Products!$A:$F,6,FALSE)</f>
        <v>1</v>
      </c>
      <c r="N636">
        <f>VLOOKUP(D636,Products!$A:$F,4,FALSE)</f>
        <v>391</v>
      </c>
      <c r="O636" t="str">
        <f>VLOOKUP(C636,Customers!$A:$F,5,FALSE)</f>
        <v>SMB</v>
      </c>
      <c r="P636">
        <f>VLOOKUP(C636,Customers!$A:$F,3,FALSE)</f>
        <v>52</v>
      </c>
      <c r="Q636" t="str">
        <f>VLOOKUP(E636,Sales_Reps!$A:$E,3,FALSE)</f>
        <v>South</v>
      </c>
      <c r="R636" t="str">
        <f>VLOOKUP(E636,Sales_Reps!$A:$E,2,FALSE)</f>
        <v>Divya Rao</v>
      </c>
      <c r="S636">
        <f t="shared" si="9"/>
        <v>0.52317073170731709</v>
      </c>
    </row>
    <row r="637" spans="1:19" x14ac:dyDescent="0.3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  <c r="L637" t="str">
        <f>VLOOKUP(D637,Products!$A:$F,3,FALSE)</f>
        <v>Apparel</v>
      </c>
      <c r="M637" t="b">
        <f>VLOOKUP(D637,Products!$A:$F,6,FALSE)</f>
        <v>1</v>
      </c>
      <c r="N637">
        <f>VLOOKUP(D637,Products!$A:$F,4,FALSE)</f>
        <v>2611</v>
      </c>
      <c r="O637" t="str">
        <f>VLOOKUP(C637,Customers!$A:$F,5,FALSE)</f>
        <v>Retail</v>
      </c>
      <c r="P637">
        <f>VLOOKUP(C637,Customers!$A:$F,3,FALSE)</f>
        <v>49</v>
      </c>
      <c r="Q637" t="str">
        <f>VLOOKUP(E637,Sales_Reps!$A:$E,3,FALSE)</f>
        <v>South</v>
      </c>
      <c r="R637" t="str">
        <f>VLOOKUP(E637,Sales_Reps!$A:$E,2,FALSE)</f>
        <v>Anil Verma</v>
      </c>
      <c r="S637">
        <f t="shared" si="9"/>
        <v>0.28269230769230769</v>
      </c>
    </row>
    <row r="638" spans="1:19" x14ac:dyDescent="0.3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  <c r="L638" t="str">
        <f>VLOOKUP(D638,Products!$A:$F,3,FALSE)</f>
        <v>Grocery</v>
      </c>
      <c r="M638" t="b">
        <f>VLOOKUP(D638,Products!$A:$F,6,FALSE)</f>
        <v>1</v>
      </c>
      <c r="N638">
        <f>VLOOKUP(D638,Products!$A:$F,4,FALSE)</f>
        <v>1182</v>
      </c>
      <c r="O638" t="str">
        <f>VLOOKUP(C638,Customers!$A:$F,5,FALSE)</f>
        <v>Corporate</v>
      </c>
      <c r="P638">
        <f>VLOOKUP(C638,Customers!$A:$F,3,FALSE)</f>
        <v>42</v>
      </c>
      <c r="Q638" t="str">
        <f>VLOOKUP(E638,Sales_Reps!$A:$E,3,FALSE)</f>
        <v>North</v>
      </c>
      <c r="R638" t="str">
        <f>VLOOKUP(E638,Sales_Reps!$A:$E,2,FALSE)</f>
        <v>Sunita Malhotra</v>
      </c>
      <c r="S638">
        <f t="shared" si="9"/>
        <v>0.50336134453781511</v>
      </c>
    </row>
    <row r="639" spans="1:19" x14ac:dyDescent="0.3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  <c r="L639" t="str">
        <f>VLOOKUP(D639,Products!$A:$F,3,FALSE)</f>
        <v>Home</v>
      </c>
      <c r="M639" t="b">
        <f>VLOOKUP(D639,Products!$A:$F,6,FALSE)</f>
        <v>1</v>
      </c>
      <c r="N639">
        <f>VLOOKUP(D639,Products!$A:$F,4,FALSE)</f>
        <v>329</v>
      </c>
      <c r="O639" t="str">
        <f>VLOOKUP(C639,Customers!$A:$F,5,FALSE)</f>
        <v>Retail</v>
      </c>
      <c r="P639">
        <f>VLOOKUP(C639,Customers!$A:$F,3,FALSE)</f>
        <v>36</v>
      </c>
      <c r="Q639" t="str">
        <f>VLOOKUP(E639,Sales_Reps!$A:$E,3,FALSE)</f>
        <v>North</v>
      </c>
      <c r="R639" t="str">
        <f>VLOOKUP(E639,Sales_Reps!$A:$E,2,FALSE)</f>
        <v>Kavita Patel</v>
      </c>
      <c r="S639">
        <f t="shared" si="9"/>
        <v>0.50151515151515147</v>
      </c>
    </row>
    <row r="640" spans="1:19" x14ac:dyDescent="0.3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  <c r="L640" t="str">
        <f>VLOOKUP(D640,Products!$A:$F,3,FALSE)</f>
        <v>Electronics</v>
      </c>
      <c r="M640" t="b">
        <f>VLOOKUP(D640,Products!$A:$F,6,FALSE)</f>
        <v>1</v>
      </c>
      <c r="N640">
        <f>VLOOKUP(D640,Products!$A:$F,4,FALSE)</f>
        <v>1559</v>
      </c>
      <c r="O640" t="str">
        <f>VLOOKUP(C640,Customers!$A:$F,5,FALSE)</f>
        <v>Retail</v>
      </c>
      <c r="P640">
        <f>VLOOKUP(C640,Customers!$A:$F,3,FALSE)</f>
        <v>35</v>
      </c>
      <c r="Q640" t="str">
        <f>VLOOKUP(E640,Sales_Reps!$A:$E,3,FALSE)</f>
        <v>East</v>
      </c>
      <c r="R640" t="str">
        <f>VLOOKUP(E640,Sales_Reps!$A:$E,2,FALSE)</f>
        <v>Meera Iyer</v>
      </c>
      <c r="S640">
        <f t="shared" si="9"/>
        <v>0.59715762273901807</v>
      </c>
    </row>
    <row r="641" spans="1:19" x14ac:dyDescent="0.3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  <c r="L641" t="str">
        <f>VLOOKUP(D641,Products!$A:$F,3,FALSE)</f>
        <v>Home</v>
      </c>
      <c r="M641" t="b">
        <f>VLOOKUP(D641,Products!$A:$F,6,FALSE)</f>
        <v>1</v>
      </c>
      <c r="N641">
        <f>VLOOKUP(D641,Products!$A:$F,4,FALSE)</f>
        <v>288</v>
      </c>
      <c r="O641" t="str">
        <f>VLOOKUP(C641,Customers!$A:$F,5,FALSE)</f>
        <v>Retail</v>
      </c>
      <c r="P641">
        <f>VLOOKUP(C641,Customers!$A:$F,3,FALSE)</f>
        <v>24</v>
      </c>
      <c r="Q641" t="str">
        <f>VLOOKUP(E641,Sales_Reps!$A:$E,3,FALSE)</f>
        <v>South</v>
      </c>
      <c r="R641" t="str">
        <f>VLOOKUP(E641,Sales_Reps!$A:$E,2,FALSE)</f>
        <v>Anjali Chopra</v>
      </c>
      <c r="S641">
        <f t="shared" si="9"/>
        <v>0.22162162162162163</v>
      </c>
    </row>
    <row r="642" spans="1:19" x14ac:dyDescent="0.3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  <c r="L642" t="str">
        <f>VLOOKUP(D642,Products!$A:$F,3,FALSE)</f>
        <v>Apparel</v>
      </c>
      <c r="M642" t="b">
        <f>VLOOKUP(D642,Products!$A:$F,6,FALSE)</f>
        <v>1</v>
      </c>
      <c r="N642">
        <f>VLOOKUP(D642,Products!$A:$F,4,FALSE)</f>
        <v>2509</v>
      </c>
      <c r="O642" t="str">
        <f>VLOOKUP(C642,Customers!$A:$F,5,FALSE)</f>
        <v>SMB</v>
      </c>
      <c r="P642">
        <f>VLOOKUP(C642,Customers!$A:$F,3,FALSE)</f>
        <v>40</v>
      </c>
      <c r="Q642" t="str">
        <f>VLOOKUP(E642,Sales_Reps!$A:$E,3,FALSE)</f>
        <v>East</v>
      </c>
      <c r="R642" t="str">
        <f>VLOOKUP(E642,Sales_Reps!$A:$E,2,FALSE)</f>
        <v>Shalini Patel</v>
      </c>
      <c r="S642">
        <f t="shared" si="9"/>
        <v>0.3069060773480663</v>
      </c>
    </row>
    <row r="643" spans="1:19" x14ac:dyDescent="0.3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  <c r="L643" t="str">
        <f>VLOOKUP(D643,Products!$A:$F,3,FALSE)</f>
        <v>Electronics</v>
      </c>
      <c r="M643" t="b">
        <f>VLOOKUP(D643,Products!$A:$F,6,FALSE)</f>
        <v>0</v>
      </c>
      <c r="N643">
        <f>VLOOKUP(D643,Products!$A:$F,4,FALSE)</f>
        <v>1259</v>
      </c>
      <c r="O643" t="str">
        <f>VLOOKUP(C643,Customers!$A:$F,5,FALSE)</f>
        <v>Retail</v>
      </c>
      <c r="P643">
        <f>VLOOKUP(C643,Customers!$A:$F,3,FALSE)</f>
        <v>55</v>
      </c>
      <c r="Q643" t="str">
        <f>VLOOKUP(E643,Sales_Reps!$A:$E,3,FALSE)</f>
        <v>North</v>
      </c>
      <c r="R643" t="str">
        <f>VLOOKUP(E643,Sales_Reps!$A:$E,2,FALSE)</f>
        <v>Vikram Patel</v>
      </c>
      <c r="S643">
        <f t="shared" ref="S643:S706" si="10">IFERROR((G643-N643)/G643,"")</f>
        <v>0.52669172932330832</v>
      </c>
    </row>
    <row r="644" spans="1:19" x14ac:dyDescent="0.3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  <c r="L644" t="str">
        <f>VLOOKUP(D644,Products!$A:$F,3,FALSE)</f>
        <v>Sports</v>
      </c>
      <c r="M644" t="b">
        <f>VLOOKUP(D644,Products!$A:$F,6,FALSE)</f>
        <v>1</v>
      </c>
      <c r="N644">
        <f>VLOOKUP(D644,Products!$A:$F,4,FALSE)</f>
        <v>2467</v>
      </c>
      <c r="O644" t="str">
        <f>VLOOKUP(C644,Customers!$A:$F,5,FALSE)</f>
        <v>Corporate</v>
      </c>
      <c r="P644">
        <f>VLOOKUP(C644,Customers!$A:$F,3,FALSE)</f>
        <v>55</v>
      </c>
      <c r="Q644" t="str">
        <f>VLOOKUP(E644,Sales_Reps!$A:$E,3,FALSE)</f>
        <v>South</v>
      </c>
      <c r="R644" t="str">
        <f>VLOOKUP(E644,Sales_Reps!$A:$E,2,FALSE)</f>
        <v>Deepak Shah</v>
      </c>
      <c r="S644">
        <f t="shared" si="10"/>
        <v>0.28492753623188405</v>
      </c>
    </row>
    <row r="645" spans="1:19" x14ac:dyDescent="0.3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  <c r="L645" t="str">
        <f>VLOOKUP(D645,Products!$A:$F,3,FALSE)</f>
        <v>Grocery</v>
      </c>
      <c r="M645" t="b">
        <f>VLOOKUP(D645,Products!$A:$F,6,FALSE)</f>
        <v>1</v>
      </c>
      <c r="N645">
        <f>VLOOKUP(D645,Products!$A:$F,4,FALSE)</f>
        <v>2911</v>
      </c>
      <c r="O645" t="str">
        <f>VLOOKUP(C645,Customers!$A:$F,5,FALSE)</f>
        <v>Corporate</v>
      </c>
      <c r="P645">
        <f>VLOOKUP(C645,Customers!$A:$F,3,FALSE)</f>
        <v>31</v>
      </c>
      <c r="Q645" t="str">
        <f>VLOOKUP(E645,Sales_Reps!$A:$E,3,FALSE)</f>
        <v>South</v>
      </c>
      <c r="R645" t="str">
        <f>VLOOKUP(E645,Sales_Reps!$A:$E,2,FALSE)</f>
        <v>Sanjay Kapoor</v>
      </c>
      <c r="S645">
        <f t="shared" si="10"/>
        <v>0.28300492610837441</v>
      </c>
    </row>
    <row r="646" spans="1:19" x14ac:dyDescent="0.3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  <c r="L646" t="str">
        <f>VLOOKUP(D646,Products!$A:$F,3,FALSE)</f>
        <v>Sports</v>
      </c>
      <c r="M646" t="b">
        <f>VLOOKUP(D646,Products!$A:$F,6,FALSE)</f>
        <v>1</v>
      </c>
      <c r="N646">
        <f>VLOOKUP(D646,Products!$A:$F,4,FALSE)</f>
        <v>705</v>
      </c>
      <c r="O646" t="str">
        <f>VLOOKUP(C646,Customers!$A:$F,5,FALSE)</f>
        <v>Corporate</v>
      </c>
      <c r="P646">
        <f>VLOOKUP(C646,Customers!$A:$F,3,FALSE)</f>
        <v>55</v>
      </c>
      <c r="Q646" t="str">
        <f>VLOOKUP(E646,Sales_Reps!$A:$E,3,FALSE)</f>
        <v>East</v>
      </c>
      <c r="R646" t="str">
        <f>VLOOKUP(E646,Sales_Reps!$A:$E,2,FALSE)</f>
        <v>Gaurav Desai</v>
      </c>
      <c r="S646">
        <f t="shared" si="10"/>
        <v>0.265625</v>
      </c>
    </row>
    <row r="647" spans="1:19" x14ac:dyDescent="0.3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  <c r="L647" t="str">
        <f>VLOOKUP(D647,Products!$A:$F,3,FALSE)</f>
        <v>Electronics</v>
      </c>
      <c r="M647" t="b">
        <f>VLOOKUP(D647,Products!$A:$F,6,FALSE)</f>
        <v>0</v>
      </c>
      <c r="N647">
        <f>VLOOKUP(D647,Products!$A:$F,4,FALSE)</f>
        <v>1259</v>
      </c>
      <c r="O647" t="str">
        <f>VLOOKUP(C647,Customers!$A:$F,5,FALSE)</f>
        <v>SMB</v>
      </c>
      <c r="P647">
        <f>VLOOKUP(C647,Customers!$A:$F,3,FALSE)</f>
        <v>43</v>
      </c>
      <c r="Q647" t="str">
        <f>VLOOKUP(E647,Sales_Reps!$A:$E,3,FALSE)</f>
        <v>North</v>
      </c>
      <c r="R647" t="str">
        <f>VLOOKUP(E647,Sales_Reps!$A:$E,2,FALSE)</f>
        <v>Kavita Patel</v>
      </c>
      <c r="S647">
        <f t="shared" si="10"/>
        <v>0.52669172932330832</v>
      </c>
    </row>
    <row r="648" spans="1:19" x14ac:dyDescent="0.3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  <c r="L648" t="str">
        <f>VLOOKUP(D648,Products!$A:$F,3,FALSE)</f>
        <v>Grocery</v>
      </c>
      <c r="M648" t="b">
        <f>VLOOKUP(D648,Products!$A:$F,6,FALSE)</f>
        <v>1</v>
      </c>
      <c r="N648">
        <f>VLOOKUP(D648,Products!$A:$F,4,FALSE)</f>
        <v>1203</v>
      </c>
      <c r="O648" t="str">
        <f>VLOOKUP(C648,Customers!$A:$F,5,FALSE)</f>
        <v>SMB</v>
      </c>
      <c r="P648">
        <f>VLOOKUP(C648,Customers!$A:$F,3,FALSE)</f>
        <v>65</v>
      </c>
      <c r="Q648" t="str">
        <f>VLOOKUP(E648,Sales_Reps!$A:$E,3,FALSE)</f>
        <v>East</v>
      </c>
      <c r="R648" t="str">
        <f>VLOOKUP(E648,Sales_Reps!$A:$E,2,FALSE)</f>
        <v>Shalini Patel</v>
      </c>
      <c r="S648">
        <f t="shared" si="10"/>
        <v>0.47004405286343615</v>
      </c>
    </row>
    <row r="649" spans="1:19" x14ac:dyDescent="0.3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  <c r="L649" t="str">
        <f>VLOOKUP(D649,Products!$A:$F,3,FALSE)</f>
        <v>Grocery</v>
      </c>
      <c r="M649" t="b">
        <f>VLOOKUP(D649,Products!$A:$F,6,FALSE)</f>
        <v>1</v>
      </c>
      <c r="N649">
        <f>VLOOKUP(D649,Products!$A:$F,4,FALSE)</f>
        <v>2436</v>
      </c>
      <c r="O649" t="str">
        <f>VLOOKUP(C649,Customers!$A:$F,5,FALSE)</f>
        <v>SMB</v>
      </c>
      <c r="P649">
        <f>VLOOKUP(C649,Customers!$A:$F,3,FALSE)</f>
        <v>28</v>
      </c>
      <c r="Q649" t="str">
        <f>VLOOKUP(E649,Sales_Reps!$A:$E,3,FALSE)</f>
        <v>West</v>
      </c>
      <c r="R649" t="str">
        <f>VLOOKUP(E649,Sales_Reps!$A:$E,2,FALSE)</f>
        <v>Ashok Reddy</v>
      </c>
      <c r="S649">
        <f t="shared" si="10"/>
        <v>0.35555555555555557</v>
      </c>
    </row>
    <row r="650" spans="1:19" x14ac:dyDescent="0.3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  <c r="L650" t="str">
        <f>VLOOKUP(D650,Products!$A:$F,3,FALSE)</f>
        <v>Home</v>
      </c>
      <c r="M650" t="b">
        <f>VLOOKUP(D650,Products!$A:$F,6,FALSE)</f>
        <v>1</v>
      </c>
      <c r="N650">
        <f>VLOOKUP(D650,Products!$A:$F,4,FALSE)</f>
        <v>329</v>
      </c>
      <c r="O650" t="str">
        <f>VLOOKUP(C650,Customers!$A:$F,5,FALSE)</f>
        <v>Retail</v>
      </c>
      <c r="P650">
        <f>VLOOKUP(C650,Customers!$A:$F,3,FALSE)</f>
        <v>55</v>
      </c>
      <c r="Q650" t="str">
        <f>VLOOKUP(E650,Sales_Reps!$A:$E,3,FALSE)</f>
        <v>East</v>
      </c>
      <c r="R650" t="str">
        <f>VLOOKUP(E650,Sales_Reps!$A:$E,2,FALSE)</f>
        <v>Prakash Shah</v>
      </c>
      <c r="S650">
        <f t="shared" si="10"/>
        <v>0.50151515151515147</v>
      </c>
    </row>
    <row r="651" spans="1:19" x14ac:dyDescent="0.3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  <c r="L651" t="str">
        <f>VLOOKUP(D651,Products!$A:$F,3,FALSE)</f>
        <v>Home</v>
      </c>
      <c r="M651" t="b">
        <f>VLOOKUP(D651,Products!$A:$F,6,FALSE)</f>
        <v>1</v>
      </c>
      <c r="N651">
        <f>VLOOKUP(D651,Products!$A:$F,4,FALSE)</f>
        <v>2135</v>
      </c>
      <c r="O651" t="str">
        <f>VLOOKUP(C651,Customers!$A:$F,5,FALSE)</f>
        <v>Corporate</v>
      </c>
      <c r="P651">
        <f>VLOOKUP(C651,Customers!$A:$F,3,FALSE)</f>
        <v>40</v>
      </c>
      <c r="Q651" t="str">
        <f>VLOOKUP(E651,Sales_Reps!$A:$E,3,FALSE)</f>
        <v>West</v>
      </c>
      <c r="R651" t="str">
        <f>VLOOKUP(E651,Sales_Reps!$A:$E,2,FALSE)</f>
        <v>Rekha Chopra</v>
      </c>
      <c r="S651">
        <f t="shared" si="10"/>
        <v>0.42761394101876676</v>
      </c>
    </row>
    <row r="652" spans="1:19" x14ac:dyDescent="0.3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  <c r="L652" t="str">
        <f>VLOOKUP(D652,Products!$A:$F,3,FALSE)</f>
        <v>Grocery</v>
      </c>
      <c r="M652" t="b">
        <f>VLOOKUP(D652,Products!$A:$F,6,FALSE)</f>
        <v>1</v>
      </c>
      <c r="N652">
        <f>VLOOKUP(D652,Products!$A:$F,4,FALSE)</f>
        <v>2911</v>
      </c>
      <c r="O652" t="str">
        <f>VLOOKUP(C652,Customers!$A:$F,5,FALSE)</f>
        <v>SMB</v>
      </c>
      <c r="P652">
        <f>VLOOKUP(C652,Customers!$A:$F,3,FALSE)</f>
        <v>27</v>
      </c>
      <c r="Q652" t="str">
        <f>VLOOKUP(E652,Sales_Reps!$A:$E,3,FALSE)</f>
        <v>East</v>
      </c>
      <c r="R652" t="str">
        <f>VLOOKUP(E652,Sales_Reps!$A:$E,2,FALSE)</f>
        <v>Gaurav Desai</v>
      </c>
      <c r="S652">
        <f t="shared" si="10"/>
        <v>0.28300492610837441</v>
      </c>
    </row>
    <row r="653" spans="1:19" x14ac:dyDescent="0.3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  <c r="L653" t="str">
        <f>VLOOKUP(D653,Products!$A:$F,3,FALSE)</f>
        <v>Grocery</v>
      </c>
      <c r="M653" t="b">
        <f>VLOOKUP(D653,Products!$A:$F,6,FALSE)</f>
        <v>1</v>
      </c>
      <c r="N653">
        <f>VLOOKUP(D653,Products!$A:$F,4,FALSE)</f>
        <v>1203</v>
      </c>
      <c r="O653" t="str">
        <f>VLOOKUP(C653,Customers!$A:$F,5,FALSE)</f>
        <v>SMB</v>
      </c>
      <c r="P653">
        <f>VLOOKUP(C653,Customers!$A:$F,3,FALSE)</f>
        <v>36</v>
      </c>
      <c r="Q653" t="str">
        <f>VLOOKUP(E653,Sales_Reps!$A:$E,3,FALSE)</f>
        <v>North</v>
      </c>
      <c r="R653" t="str">
        <f>VLOOKUP(E653,Sales_Reps!$A:$E,2,FALSE)</f>
        <v>Amit Singh</v>
      </c>
      <c r="S653">
        <f t="shared" si="10"/>
        <v>0.47004405286343615</v>
      </c>
    </row>
    <row r="654" spans="1:19" x14ac:dyDescent="0.3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  <c r="L654" t="str">
        <f>VLOOKUP(D654,Products!$A:$F,3,FALSE)</f>
        <v>Electronics</v>
      </c>
      <c r="M654" t="b">
        <f>VLOOKUP(D654,Products!$A:$F,6,FALSE)</f>
        <v>1</v>
      </c>
      <c r="N654">
        <f>VLOOKUP(D654,Products!$A:$F,4,FALSE)</f>
        <v>1665</v>
      </c>
      <c r="O654" t="str">
        <f>VLOOKUP(C654,Customers!$A:$F,5,FALSE)</f>
        <v>SMB</v>
      </c>
      <c r="P654">
        <f>VLOOKUP(C654,Customers!$A:$F,3,FALSE)</f>
        <v>48</v>
      </c>
      <c r="Q654" t="str">
        <f>VLOOKUP(E654,Sales_Reps!$A:$E,3,FALSE)</f>
        <v>West</v>
      </c>
      <c r="R654" t="str">
        <f>VLOOKUP(E654,Sales_Reps!$A:$E,2,FALSE)</f>
        <v>Preeti Shah</v>
      </c>
      <c r="S654">
        <f t="shared" si="10"/>
        <v>0.53361344537815125</v>
      </c>
    </row>
    <row r="655" spans="1:19" x14ac:dyDescent="0.3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  <c r="L655" t="str">
        <f>VLOOKUP(D655,Products!$A:$F,3,FALSE)</f>
        <v>Grocery</v>
      </c>
      <c r="M655" t="b">
        <f>VLOOKUP(D655,Products!$A:$F,6,FALSE)</f>
        <v>1</v>
      </c>
      <c r="N655">
        <f>VLOOKUP(D655,Products!$A:$F,4,FALSE)</f>
        <v>1010</v>
      </c>
      <c r="O655" t="str">
        <f>VLOOKUP(C655,Customers!$A:$F,5,FALSE)</f>
        <v>Retail</v>
      </c>
      <c r="P655">
        <f>VLOOKUP(C655,Customers!$A:$F,3,FALSE)</f>
        <v>52</v>
      </c>
      <c r="Q655" t="str">
        <f>VLOOKUP(E655,Sales_Reps!$A:$E,3,FALSE)</f>
        <v>North</v>
      </c>
      <c r="R655" t="str">
        <f>VLOOKUP(E655,Sales_Reps!$A:$E,2,FALSE)</f>
        <v>Priya Singh</v>
      </c>
      <c r="S655">
        <f t="shared" si="10"/>
        <v>0.54298642533936647</v>
      </c>
    </row>
    <row r="656" spans="1:19" x14ac:dyDescent="0.3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  <c r="L656" t="str">
        <f>VLOOKUP(D656,Products!$A:$F,3,FALSE)</f>
        <v>Sports</v>
      </c>
      <c r="M656" t="b">
        <f>VLOOKUP(D656,Products!$A:$F,6,FALSE)</f>
        <v>1</v>
      </c>
      <c r="N656">
        <f>VLOOKUP(D656,Products!$A:$F,4,FALSE)</f>
        <v>705</v>
      </c>
      <c r="O656" t="str">
        <f>VLOOKUP(C656,Customers!$A:$F,5,FALSE)</f>
        <v>SMB</v>
      </c>
      <c r="P656">
        <f>VLOOKUP(C656,Customers!$A:$F,3,FALSE)</f>
        <v>43</v>
      </c>
      <c r="Q656" t="str">
        <f>VLOOKUP(E656,Sales_Reps!$A:$E,3,FALSE)</f>
        <v>West</v>
      </c>
      <c r="R656" t="str">
        <f>VLOOKUP(E656,Sales_Reps!$A:$E,2,FALSE)</f>
        <v>Sonia Malhotra</v>
      </c>
      <c r="S656">
        <f t="shared" si="10"/>
        <v>0.265625</v>
      </c>
    </row>
    <row r="657" spans="1:19" x14ac:dyDescent="0.3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  <c r="L657" t="str">
        <f>VLOOKUP(D657,Products!$A:$F,3,FALSE)</f>
        <v>Sports</v>
      </c>
      <c r="M657" t="b">
        <f>VLOOKUP(D657,Products!$A:$F,6,FALSE)</f>
        <v>1</v>
      </c>
      <c r="N657">
        <f>VLOOKUP(D657,Products!$A:$F,4,FALSE)</f>
        <v>1860</v>
      </c>
      <c r="O657" t="str">
        <f>VLOOKUP(C657,Customers!$A:$F,5,FALSE)</f>
        <v>Corporate</v>
      </c>
      <c r="P657">
        <f>VLOOKUP(C657,Customers!$A:$F,3,FALSE)</f>
        <v>22</v>
      </c>
      <c r="Q657" t="str">
        <f>VLOOKUP(E657,Sales_Reps!$A:$E,3,FALSE)</f>
        <v>West</v>
      </c>
      <c r="R657" t="str">
        <f>VLOOKUP(E657,Sales_Reps!$A:$E,2,FALSE)</f>
        <v>Sonia Malhotra</v>
      </c>
      <c r="S657">
        <f t="shared" si="10"/>
        <v>0.50793650793650791</v>
      </c>
    </row>
    <row r="658" spans="1:19" x14ac:dyDescent="0.3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  <c r="L658" t="str">
        <f>VLOOKUP(D658,Products!$A:$F,3,FALSE)</f>
        <v>Beauty</v>
      </c>
      <c r="M658" t="b">
        <f>VLOOKUP(D658,Products!$A:$F,6,FALSE)</f>
        <v>1</v>
      </c>
      <c r="N658">
        <f>VLOOKUP(D658,Products!$A:$F,4,FALSE)</f>
        <v>2237</v>
      </c>
      <c r="O658" t="str">
        <f>VLOOKUP(C658,Customers!$A:$F,5,FALSE)</f>
        <v>Corporate</v>
      </c>
      <c r="P658">
        <f>VLOOKUP(C658,Customers!$A:$F,3,FALSE)</f>
        <v>44</v>
      </c>
      <c r="Q658" t="str">
        <f>VLOOKUP(E658,Sales_Reps!$A:$E,3,FALSE)</f>
        <v>South</v>
      </c>
      <c r="R658" t="str">
        <f>VLOOKUP(E658,Sales_Reps!$A:$E,2,FALSE)</f>
        <v>Ritu Menon</v>
      </c>
      <c r="S658">
        <f t="shared" si="10"/>
        <v>0.56137254901960787</v>
      </c>
    </row>
    <row r="659" spans="1:19" x14ac:dyDescent="0.3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  <c r="L659" t="str">
        <f>VLOOKUP(D659,Products!$A:$F,3,FALSE)</f>
        <v>Apparel</v>
      </c>
      <c r="M659" t="b">
        <f>VLOOKUP(D659,Products!$A:$F,6,FALSE)</f>
        <v>1</v>
      </c>
      <c r="N659">
        <f>VLOOKUP(D659,Products!$A:$F,4,FALSE)</f>
        <v>1173</v>
      </c>
      <c r="O659" t="str">
        <f>VLOOKUP(C659,Customers!$A:$F,5,FALSE)</f>
        <v>SMB</v>
      </c>
      <c r="P659">
        <f>VLOOKUP(C659,Customers!$A:$F,3,FALSE)</f>
        <v>26</v>
      </c>
      <c r="Q659" t="str">
        <f>VLOOKUP(E659,Sales_Reps!$A:$E,3,FALSE)</f>
        <v>East</v>
      </c>
      <c r="R659" t="str">
        <f>VLOOKUP(E659,Sales_Reps!$A:$E,2,FALSE)</f>
        <v>Gaurav Desai</v>
      </c>
      <c r="S659">
        <f t="shared" si="10"/>
        <v>0.52701612903225803</v>
      </c>
    </row>
    <row r="660" spans="1:19" x14ac:dyDescent="0.3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  <c r="L660" t="str">
        <f>VLOOKUP(D660,Products!$A:$F,3,FALSE)</f>
        <v>Home</v>
      </c>
      <c r="M660" t="b">
        <f>VLOOKUP(D660,Products!$A:$F,6,FALSE)</f>
        <v>1</v>
      </c>
      <c r="N660">
        <f>VLOOKUP(D660,Products!$A:$F,4,FALSE)</f>
        <v>519</v>
      </c>
      <c r="O660" t="str">
        <f>VLOOKUP(C660,Customers!$A:$F,5,FALSE)</f>
        <v>Corporate</v>
      </c>
      <c r="P660">
        <f>VLOOKUP(C660,Customers!$A:$F,3,FALSE)</f>
        <v>46</v>
      </c>
      <c r="Q660" t="str">
        <f>VLOOKUP(E660,Sales_Reps!$A:$E,3,FALSE)</f>
        <v>East</v>
      </c>
      <c r="R660" t="str">
        <f>VLOOKUP(E660,Sales_Reps!$A:$E,2,FALSE)</f>
        <v>Shalini Patel</v>
      </c>
      <c r="S660">
        <f t="shared" si="10"/>
        <v>0.51944444444444449</v>
      </c>
    </row>
    <row r="661" spans="1:19" x14ac:dyDescent="0.3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  <c r="L661" t="str">
        <f>VLOOKUP(D661,Products!$A:$F,3,FALSE)</f>
        <v>Electronics</v>
      </c>
      <c r="M661" t="b">
        <f>VLOOKUP(D661,Products!$A:$F,6,FALSE)</f>
        <v>1</v>
      </c>
      <c r="N661">
        <f>VLOOKUP(D661,Products!$A:$F,4,FALSE)</f>
        <v>1052</v>
      </c>
      <c r="O661" t="str">
        <f>VLOOKUP(C661,Customers!$A:$F,5,FALSE)</f>
        <v>Retail</v>
      </c>
      <c r="P661">
        <f>VLOOKUP(C661,Customers!$A:$F,3,FALSE)</f>
        <v>40</v>
      </c>
      <c r="Q661" t="str">
        <f>VLOOKUP(E661,Sales_Reps!$A:$E,3,FALSE)</f>
        <v>West</v>
      </c>
      <c r="R661" t="str">
        <f>VLOOKUP(E661,Sales_Reps!$A:$E,2,FALSE)</f>
        <v>Arun Iyer</v>
      </c>
      <c r="S661">
        <f t="shared" si="10"/>
        <v>0.5953846153846154</v>
      </c>
    </row>
    <row r="662" spans="1:19" x14ac:dyDescent="0.3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  <c r="L662" t="str">
        <f>VLOOKUP(D662,Products!$A:$F,3,FALSE)</f>
        <v>Electronics</v>
      </c>
      <c r="M662" t="b">
        <f>VLOOKUP(D662,Products!$A:$F,6,FALSE)</f>
        <v>1</v>
      </c>
      <c r="N662">
        <f>VLOOKUP(D662,Products!$A:$F,4,FALSE)</f>
        <v>1052</v>
      </c>
      <c r="O662" t="str">
        <f>VLOOKUP(C662,Customers!$A:$F,5,FALSE)</f>
        <v>Retail</v>
      </c>
      <c r="P662">
        <f>VLOOKUP(C662,Customers!$A:$F,3,FALSE)</f>
        <v>36</v>
      </c>
      <c r="Q662" t="str">
        <f>VLOOKUP(E662,Sales_Reps!$A:$E,3,FALSE)</f>
        <v>South</v>
      </c>
      <c r="R662" t="str">
        <f>VLOOKUP(E662,Sales_Reps!$A:$E,2,FALSE)</f>
        <v>Deepak Shah</v>
      </c>
      <c r="S662">
        <f t="shared" si="10"/>
        <v>0.5953846153846154</v>
      </c>
    </row>
    <row r="663" spans="1:19" x14ac:dyDescent="0.3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  <c r="L663" t="str">
        <f>VLOOKUP(D663,Products!$A:$F,3,FALSE)</f>
        <v>Apparel</v>
      </c>
      <c r="M663" t="b">
        <f>VLOOKUP(D663,Products!$A:$F,6,FALSE)</f>
        <v>1</v>
      </c>
      <c r="N663">
        <f>VLOOKUP(D663,Products!$A:$F,4,FALSE)</f>
        <v>391</v>
      </c>
      <c r="O663" t="str">
        <f>VLOOKUP(C663,Customers!$A:$F,5,FALSE)</f>
        <v>SMB</v>
      </c>
      <c r="P663">
        <f>VLOOKUP(C663,Customers!$A:$F,3,FALSE)</f>
        <v>50</v>
      </c>
      <c r="Q663" t="str">
        <f>VLOOKUP(E663,Sales_Reps!$A:$E,3,FALSE)</f>
        <v>East</v>
      </c>
      <c r="R663" t="str">
        <f>VLOOKUP(E663,Sales_Reps!$A:$E,2,FALSE)</f>
        <v>Vinod Kumar</v>
      </c>
      <c r="S663">
        <f t="shared" si="10"/>
        <v>0.52317073170731709</v>
      </c>
    </row>
    <row r="664" spans="1:19" x14ac:dyDescent="0.3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  <c r="L664" t="str">
        <f>VLOOKUP(D664,Products!$A:$F,3,FALSE)</f>
        <v>Sports</v>
      </c>
      <c r="M664" t="b">
        <f>VLOOKUP(D664,Products!$A:$F,6,FALSE)</f>
        <v>1</v>
      </c>
      <c r="N664">
        <f>VLOOKUP(D664,Products!$A:$F,4,FALSE)</f>
        <v>705</v>
      </c>
      <c r="O664" t="str">
        <f>VLOOKUP(C664,Customers!$A:$F,5,FALSE)</f>
        <v>Retail</v>
      </c>
      <c r="P664">
        <f>VLOOKUP(C664,Customers!$A:$F,3,FALSE)</f>
        <v>49</v>
      </c>
      <c r="Q664" t="str">
        <f>VLOOKUP(E664,Sales_Reps!$A:$E,3,FALSE)</f>
        <v>South</v>
      </c>
      <c r="R664" t="str">
        <f>VLOOKUP(E664,Sales_Reps!$A:$E,2,FALSE)</f>
        <v>Manoj Patel</v>
      </c>
      <c r="S664">
        <f t="shared" si="10"/>
        <v>0.265625</v>
      </c>
    </row>
    <row r="665" spans="1:19" x14ac:dyDescent="0.3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  <c r="L665" t="str">
        <f>VLOOKUP(D665,Products!$A:$F,3,FALSE)</f>
        <v>Beauty</v>
      </c>
      <c r="M665" t="b">
        <f>VLOOKUP(D665,Products!$A:$F,6,FALSE)</f>
        <v>0</v>
      </c>
      <c r="N665">
        <f>VLOOKUP(D665,Products!$A:$F,4,FALSE)</f>
        <v>647</v>
      </c>
      <c r="O665" t="str">
        <f>VLOOKUP(C665,Customers!$A:$F,5,FALSE)</f>
        <v>Corporate</v>
      </c>
      <c r="P665">
        <f>VLOOKUP(C665,Customers!$A:$F,3,FALSE)</f>
        <v>55</v>
      </c>
      <c r="Q665" t="str">
        <f>VLOOKUP(E665,Sales_Reps!$A:$E,3,FALSE)</f>
        <v>East</v>
      </c>
      <c r="R665" t="str">
        <f>VLOOKUP(E665,Sales_Reps!$A:$E,2,FALSE)</f>
        <v>Vinod Kumar</v>
      </c>
      <c r="S665">
        <f t="shared" si="10"/>
        <v>0.57987012987012987</v>
      </c>
    </row>
    <row r="666" spans="1:19" x14ac:dyDescent="0.3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  <c r="L666" t="str">
        <f>VLOOKUP(D666,Products!$A:$F,3,FALSE)</f>
        <v>Sports</v>
      </c>
      <c r="M666" t="b">
        <f>VLOOKUP(D666,Products!$A:$F,6,FALSE)</f>
        <v>1</v>
      </c>
      <c r="N666">
        <f>VLOOKUP(D666,Products!$A:$F,4,FALSE)</f>
        <v>2827</v>
      </c>
      <c r="O666" t="str">
        <f>VLOOKUP(C666,Customers!$A:$F,5,FALSE)</f>
        <v>SMB</v>
      </c>
      <c r="P666">
        <f>VLOOKUP(C666,Customers!$A:$F,3,FALSE)</f>
        <v>44</v>
      </c>
      <c r="Q666" t="str">
        <f>VLOOKUP(E666,Sales_Reps!$A:$E,3,FALSE)</f>
        <v>West</v>
      </c>
      <c r="R666" t="str">
        <f>VLOOKUP(E666,Sales_Reps!$A:$E,2,FALSE)</f>
        <v>Kiran Bhatt</v>
      </c>
      <c r="S666">
        <f t="shared" si="10"/>
        <v>0.5926512968299712</v>
      </c>
    </row>
    <row r="667" spans="1:19" x14ac:dyDescent="0.3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  <c r="L667" t="str">
        <f>VLOOKUP(D667,Products!$A:$F,3,FALSE)</f>
        <v>Beauty</v>
      </c>
      <c r="M667" t="b">
        <f>VLOOKUP(D667,Products!$A:$F,6,FALSE)</f>
        <v>0</v>
      </c>
      <c r="N667">
        <f>VLOOKUP(D667,Products!$A:$F,4,FALSE)</f>
        <v>647</v>
      </c>
      <c r="O667" t="str">
        <f>VLOOKUP(C667,Customers!$A:$F,5,FALSE)</f>
        <v>SMB</v>
      </c>
      <c r="P667">
        <f>VLOOKUP(C667,Customers!$A:$F,3,FALSE)</f>
        <v>53</v>
      </c>
      <c r="Q667" t="str">
        <f>VLOOKUP(E667,Sales_Reps!$A:$E,3,FALSE)</f>
        <v>South</v>
      </c>
      <c r="R667" t="str">
        <f>VLOOKUP(E667,Sales_Reps!$A:$E,2,FALSE)</f>
        <v>Sanjay Kapoor</v>
      </c>
      <c r="S667">
        <f t="shared" si="10"/>
        <v>0.57987012987012987</v>
      </c>
    </row>
    <row r="668" spans="1:19" x14ac:dyDescent="0.3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  <c r="L668" t="str">
        <f>VLOOKUP(D668,Products!$A:$F,3,FALSE)</f>
        <v>Home</v>
      </c>
      <c r="M668" t="b">
        <f>VLOOKUP(D668,Products!$A:$F,6,FALSE)</f>
        <v>1</v>
      </c>
      <c r="N668">
        <f>VLOOKUP(D668,Products!$A:$F,4,FALSE)</f>
        <v>2135</v>
      </c>
      <c r="O668" t="str">
        <f>VLOOKUP(C668,Customers!$A:$F,5,FALSE)</f>
        <v>Retail</v>
      </c>
      <c r="P668">
        <f>VLOOKUP(C668,Customers!$A:$F,3,FALSE)</f>
        <v>53</v>
      </c>
      <c r="Q668" t="str">
        <f>VLOOKUP(E668,Sales_Reps!$A:$E,3,FALSE)</f>
        <v>South</v>
      </c>
      <c r="R668" t="str">
        <f>VLOOKUP(E668,Sales_Reps!$A:$E,2,FALSE)</f>
        <v>Pooja Nair</v>
      </c>
      <c r="S668">
        <f t="shared" si="10"/>
        <v>0.42761394101876676</v>
      </c>
    </row>
    <row r="669" spans="1:19" x14ac:dyDescent="0.3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  <c r="L669" t="str">
        <f>VLOOKUP(D669,Products!$A:$F,3,FALSE)</f>
        <v>Grocery</v>
      </c>
      <c r="M669" t="b">
        <f>VLOOKUP(D669,Products!$A:$F,6,FALSE)</f>
        <v>1</v>
      </c>
      <c r="N669">
        <f>VLOOKUP(D669,Products!$A:$F,4,FALSE)</f>
        <v>1435</v>
      </c>
      <c r="O669" t="str">
        <f>VLOOKUP(C669,Customers!$A:$F,5,FALSE)</f>
        <v>Retail</v>
      </c>
      <c r="P669">
        <f>VLOOKUP(C669,Customers!$A:$F,3,FALSE)</f>
        <v>34</v>
      </c>
      <c r="Q669" t="str">
        <f>VLOOKUP(E669,Sales_Reps!$A:$E,3,FALSE)</f>
        <v>East</v>
      </c>
      <c r="R669" t="str">
        <f>VLOOKUP(E669,Sales_Reps!$A:$E,2,FALSE)</f>
        <v>Vinod Kumar</v>
      </c>
      <c r="S669">
        <f t="shared" si="10"/>
        <v>0.48007246376811596</v>
      </c>
    </row>
    <row r="670" spans="1:19" x14ac:dyDescent="0.3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  <c r="L670" t="str">
        <f>VLOOKUP(D670,Products!$A:$F,3,FALSE)</f>
        <v>Electronics</v>
      </c>
      <c r="M670" t="b">
        <f>VLOOKUP(D670,Products!$A:$F,6,FALSE)</f>
        <v>1</v>
      </c>
      <c r="N670">
        <f>VLOOKUP(D670,Products!$A:$F,4,FALSE)</f>
        <v>2865</v>
      </c>
      <c r="O670" t="str">
        <f>VLOOKUP(C670,Customers!$A:$F,5,FALSE)</f>
        <v>Corporate</v>
      </c>
      <c r="P670">
        <f>VLOOKUP(C670,Customers!$A:$F,3,FALSE)</f>
        <v>51</v>
      </c>
      <c r="Q670" t="str">
        <f>VLOOKUP(E670,Sales_Reps!$A:$E,3,FALSE)</f>
        <v>East</v>
      </c>
      <c r="R670" t="str">
        <f>VLOOKUP(E670,Sales_Reps!$A:$E,2,FALSE)</f>
        <v>Meera Iyer</v>
      </c>
      <c r="S670">
        <f t="shared" si="10"/>
        <v>0.27833753148614609</v>
      </c>
    </row>
    <row r="671" spans="1:19" x14ac:dyDescent="0.3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  <c r="L671" t="str">
        <f>VLOOKUP(D671,Products!$A:$F,3,FALSE)</f>
        <v>Grocery</v>
      </c>
      <c r="M671" t="b">
        <f>VLOOKUP(D671,Products!$A:$F,6,FALSE)</f>
        <v>1</v>
      </c>
      <c r="N671">
        <f>VLOOKUP(D671,Products!$A:$F,4,FALSE)</f>
        <v>2436</v>
      </c>
      <c r="O671" t="str">
        <f>VLOOKUP(C671,Customers!$A:$F,5,FALSE)</f>
        <v>SMB</v>
      </c>
      <c r="P671">
        <f>VLOOKUP(C671,Customers!$A:$F,3,FALSE)</f>
        <v>28</v>
      </c>
      <c r="Q671" t="str">
        <f>VLOOKUP(E671,Sales_Reps!$A:$E,3,FALSE)</f>
        <v>East</v>
      </c>
      <c r="R671" t="str">
        <f>VLOOKUP(E671,Sales_Reps!$A:$E,2,FALSE)</f>
        <v>Vinod Kumar</v>
      </c>
      <c r="S671">
        <f t="shared" si="10"/>
        <v>0.35555555555555557</v>
      </c>
    </row>
    <row r="672" spans="1:19" x14ac:dyDescent="0.3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  <c r="L672" t="str">
        <f>VLOOKUP(D672,Products!$A:$F,3,FALSE)</f>
        <v>Apparel</v>
      </c>
      <c r="M672" t="b">
        <f>VLOOKUP(D672,Products!$A:$F,6,FALSE)</f>
        <v>1</v>
      </c>
      <c r="N672">
        <f>VLOOKUP(D672,Products!$A:$F,4,FALSE)</f>
        <v>1962</v>
      </c>
      <c r="O672" t="str">
        <f>VLOOKUP(C672,Customers!$A:$F,5,FALSE)</f>
        <v>Retail</v>
      </c>
      <c r="P672">
        <f>VLOOKUP(C672,Customers!$A:$F,3,FALSE)</f>
        <v>52</v>
      </c>
      <c r="Q672" t="str">
        <f>VLOOKUP(E672,Sales_Reps!$A:$E,3,FALSE)</f>
        <v>North</v>
      </c>
      <c r="R672" t="str">
        <f>VLOOKUP(E672,Sales_Reps!$A:$E,2,FALSE)</f>
        <v>Kavita Patel</v>
      </c>
      <c r="S672">
        <f t="shared" si="10"/>
        <v>0.2786764705882353</v>
      </c>
    </row>
    <row r="673" spans="1:19" x14ac:dyDescent="0.3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  <c r="L673" t="str">
        <f>VLOOKUP(D673,Products!$A:$F,3,FALSE)</f>
        <v>Electronics</v>
      </c>
      <c r="M673" t="b">
        <f>VLOOKUP(D673,Products!$A:$F,6,FALSE)</f>
        <v>1</v>
      </c>
      <c r="N673">
        <f>VLOOKUP(D673,Products!$A:$F,4,FALSE)</f>
        <v>2865</v>
      </c>
      <c r="O673" t="str">
        <f>VLOOKUP(C673,Customers!$A:$F,5,FALSE)</f>
        <v>Retail</v>
      </c>
      <c r="P673">
        <f>VLOOKUP(C673,Customers!$A:$F,3,FALSE)</f>
        <v>49</v>
      </c>
      <c r="Q673" t="str">
        <f>VLOOKUP(E673,Sales_Reps!$A:$E,3,FALSE)</f>
        <v>East</v>
      </c>
      <c r="R673" t="str">
        <f>VLOOKUP(E673,Sales_Reps!$A:$E,2,FALSE)</f>
        <v>Naveen Singh</v>
      </c>
      <c r="S673">
        <f t="shared" si="10"/>
        <v>0.27833753148614609</v>
      </c>
    </row>
    <row r="674" spans="1:19" x14ac:dyDescent="0.3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  <c r="L674" t="str">
        <f>VLOOKUP(D674,Products!$A:$F,3,FALSE)</f>
        <v>Apparel</v>
      </c>
      <c r="M674" t="b">
        <f>VLOOKUP(D674,Products!$A:$F,6,FALSE)</f>
        <v>1</v>
      </c>
      <c r="N674">
        <f>VLOOKUP(D674,Products!$A:$F,4,FALSE)</f>
        <v>391</v>
      </c>
      <c r="O674" t="str">
        <f>VLOOKUP(C674,Customers!$A:$F,5,FALSE)</f>
        <v>SMB</v>
      </c>
      <c r="P674">
        <f>VLOOKUP(C674,Customers!$A:$F,3,FALSE)</f>
        <v>39</v>
      </c>
      <c r="Q674" t="str">
        <f>VLOOKUP(E674,Sales_Reps!$A:$E,3,FALSE)</f>
        <v>South</v>
      </c>
      <c r="R674" t="str">
        <f>VLOOKUP(E674,Sales_Reps!$A:$E,2,FALSE)</f>
        <v>Anil Verma</v>
      </c>
      <c r="S674">
        <f t="shared" si="10"/>
        <v>0.52317073170731709</v>
      </c>
    </row>
    <row r="675" spans="1:19" x14ac:dyDescent="0.3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  <c r="L675" t="str">
        <f>VLOOKUP(D675,Products!$A:$F,3,FALSE)</f>
        <v>Apparel</v>
      </c>
      <c r="M675" t="b">
        <f>VLOOKUP(D675,Products!$A:$F,6,FALSE)</f>
        <v>1</v>
      </c>
      <c r="N675">
        <f>VLOOKUP(D675,Products!$A:$F,4,FALSE)</f>
        <v>396</v>
      </c>
      <c r="O675" t="str">
        <f>VLOOKUP(C675,Customers!$A:$F,5,FALSE)</f>
        <v>Retail</v>
      </c>
      <c r="P675">
        <f>VLOOKUP(C675,Customers!$A:$F,3,FALSE)</f>
        <v>37</v>
      </c>
      <c r="Q675" t="str">
        <f>VLOOKUP(E675,Sales_Reps!$A:$E,3,FALSE)</f>
        <v>South</v>
      </c>
      <c r="R675" t="str">
        <f>VLOOKUP(E675,Sales_Reps!$A:$E,2,FALSE)</f>
        <v>Divya Rao</v>
      </c>
      <c r="S675">
        <f t="shared" si="10"/>
        <v>0.36129032258064514</v>
      </c>
    </row>
    <row r="676" spans="1:19" x14ac:dyDescent="0.3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  <c r="L676" t="str">
        <f>VLOOKUP(D676,Products!$A:$F,3,FALSE)</f>
        <v>Beauty</v>
      </c>
      <c r="M676" t="b">
        <f>VLOOKUP(D676,Products!$A:$F,6,FALSE)</f>
        <v>1</v>
      </c>
      <c r="N676">
        <f>VLOOKUP(D676,Products!$A:$F,4,FALSE)</f>
        <v>1219</v>
      </c>
      <c r="O676" t="str">
        <f>VLOOKUP(C676,Customers!$A:$F,5,FALSE)</f>
        <v>Retail</v>
      </c>
      <c r="P676">
        <f>VLOOKUP(C676,Customers!$A:$F,3,FALSE)</f>
        <v>31</v>
      </c>
      <c r="Q676" t="str">
        <f>VLOOKUP(E676,Sales_Reps!$A:$E,3,FALSE)</f>
        <v>West</v>
      </c>
      <c r="R676" t="str">
        <f>VLOOKUP(E676,Sales_Reps!$A:$E,2,FALSE)</f>
        <v>Ramesh Bhatt</v>
      </c>
      <c r="S676">
        <f t="shared" si="10"/>
        <v>0.46768558951965067</v>
      </c>
    </row>
    <row r="677" spans="1:19" x14ac:dyDescent="0.3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  <c r="L677" t="str">
        <f>VLOOKUP(D677,Products!$A:$F,3,FALSE)</f>
        <v>Grocery</v>
      </c>
      <c r="M677" t="b">
        <f>VLOOKUP(D677,Products!$A:$F,6,FALSE)</f>
        <v>1</v>
      </c>
      <c r="N677">
        <f>VLOOKUP(D677,Products!$A:$F,4,FALSE)</f>
        <v>434</v>
      </c>
      <c r="O677" t="str">
        <f>VLOOKUP(C677,Customers!$A:$F,5,FALSE)</f>
        <v>Corporate</v>
      </c>
      <c r="P677">
        <f>VLOOKUP(C677,Customers!$A:$F,3,FALSE)</f>
        <v>41</v>
      </c>
      <c r="Q677" t="str">
        <f>VLOOKUP(E677,Sales_Reps!$A:$E,3,FALSE)</f>
        <v>West</v>
      </c>
      <c r="R677" t="str">
        <f>VLOOKUP(E677,Sales_Reps!$A:$E,2,FALSE)</f>
        <v>Ashok Reddy</v>
      </c>
      <c r="S677">
        <f t="shared" si="10"/>
        <v>0.5525773195876289</v>
      </c>
    </row>
    <row r="678" spans="1:19" x14ac:dyDescent="0.3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  <c r="L678" t="str">
        <f>VLOOKUP(D678,Products!$A:$F,3,FALSE)</f>
        <v>Home</v>
      </c>
      <c r="M678" t="b">
        <f>VLOOKUP(D678,Products!$A:$F,6,FALSE)</f>
        <v>1</v>
      </c>
      <c r="N678">
        <f>VLOOKUP(D678,Products!$A:$F,4,FALSE)</f>
        <v>288</v>
      </c>
      <c r="O678" t="str">
        <f>VLOOKUP(C678,Customers!$A:$F,5,FALSE)</f>
        <v>Retail</v>
      </c>
      <c r="P678">
        <f>VLOOKUP(C678,Customers!$A:$F,3,FALSE)</f>
        <v>47</v>
      </c>
      <c r="Q678" t="str">
        <f>VLOOKUP(E678,Sales_Reps!$A:$E,3,FALSE)</f>
        <v>South</v>
      </c>
      <c r="R678" t="str">
        <f>VLOOKUP(E678,Sales_Reps!$A:$E,2,FALSE)</f>
        <v>Ritu Menon</v>
      </c>
      <c r="S678">
        <f t="shared" si="10"/>
        <v>0.22162162162162163</v>
      </c>
    </row>
    <row r="679" spans="1:19" x14ac:dyDescent="0.3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  <c r="L679" t="str">
        <f>VLOOKUP(D679,Products!$A:$F,3,FALSE)</f>
        <v>Electronics</v>
      </c>
      <c r="M679" t="b">
        <f>VLOOKUP(D679,Products!$A:$F,6,FALSE)</f>
        <v>1</v>
      </c>
      <c r="N679">
        <f>VLOOKUP(D679,Products!$A:$F,4,FALSE)</f>
        <v>861</v>
      </c>
      <c r="O679" t="str">
        <f>VLOOKUP(C679,Customers!$A:$F,5,FALSE)</f>
        <v>SMB</v>
      </c>
      <c r="P679">
        <f>VLOOKUP(C679,Customers!$A:$F,3,FALSE)</f>
        <v>26</v>
      </c>
      <c r="Q679" t="str">
        <f>VLOOKUP(E679,Sales_Reps!$A:$E,3,FALSE)</f>
        <v>North</v>
      </c>
      <c r="R679" t="str">
        <f>VLOOKUP(E679,Sales_Reps!$A:$E,2,FALSE)</f>
        <v>Suresh Menon</v>
      </c>
      <c r="S679">
        <f t="shared" si="10"/>
        <v>0.39790209790209791</v>
      </c>
    </row>
    <row r="680" spans="1:19" x14ac:dyDescent="0.3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  <c r="L680" t="str">
        <f>VLOOKUP(D680,Products!$A:$F,3,FALSE)</f>
        <v>Sports</v>
      </c>
      <c r="M680" t="b">
        <f>VLOOKUP(D680,Products!$A:$F,6,FALSE)</f>
        <v>1</v>
      </c>
      <c r="N680">
        <f>VLOOKUP(D680,Products!$A:$F,4,FALSE)</f>
        <v>974</v>
      </c>
      <c r="O680" t="str">
        <f>VLOOKUP(C680,Customers!$A:$F,5,FALSE)</f>
        <v>Retail</v>
      </c>
      <c r="P680">
        <f>VLOOKUP(C680,Customers!$A:$F,3,FALSE)</f>
        <v>37</v>
      </c>
      <c r="Q680" t="str">
        <f>VLOOKUP(E680,Sales_Reps!$A:$E,3,FALSE)</f>
        <v>West</v>
      </c>
      <c r="R680" t="str">
        <f>VLOOKUP(E680,Sales_Reps!$A:$E,2,FALSE)</f>
        <v>Kiran Bhatt</v>
      </c>
      <c r="S680">
        <f t="shared" si="10"/>
        <v>0.59416666666666662</v>
      </c>
    </row>
    <row r="681" spans="1:19" x14ac:dyDescent="0.3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  <c r="L681" t="str">
        <f>VLOOKUP(D681,Products!$A:$F,3,FALSE)</f>
        <v>Electronics</v>
      </c>
      <c r="M681" t="b">
        <f>VLOOKUP(D681,Products!$A:$F,6,FALSE)</f>
        <v>1</v>
      </c>
      <c r="N681">
        <f>VLOOKUP(D681,Products!$A:$F,4,FALSE)</f>
        <v>861</v>
      </c>
      <c r="O681" t="str">
        <f>VLOOKUP(C681,Customers!$A:$F,5,FALSE)</f>
        <v>SMB</v>
      </c>
      <c r="P681">
        <f>VLOOKUP(C681,Customers!$A:$F,3,FALSE)</f>
        <v>53</v>
      </c>
      <c r="Q681" t="str">
        <f>VLOOKUP(E681,Sales_Reps!$A:$E,3,FALSE)</f>
        <v>South</v>
      </c>
      <c r="R681" t="str">
        <f>VLOOKUP(E681,Sales_Reps!$A:$E,2,FALSE)</f>
        <v>Anil Verma</v>
      </c>
      <c r="S681">
        <f t="shared" si="10"/>
        <v>0.39790209790209791</v>
      </c>
    </row>
    <row r="682" spans="1:19" x14ac:dyDescent="0.3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  <c r="L682" t="str">
        <f>VLOOKUP(D682,Products!$A:$F,3,FALSE)</f>
        <v>Apparel</v>
      </c>
      <c r="M682" t="b">
        <f>VLOOKUP(D682,Products!$A:$F,6,FALSE)</f>
        <v>1</v>
      </c>
      <c r="N682">
        <f>VLOOKUP(D682,Products!$A:$F,4,FALSE)</f>
        <v>1962</v>
      </c>
      <c r="O682" t="str">
        <f>VLOOKUP(C682,Customers!$A:$F,5,FALSE)</f>
        <v>SMB</v>
      </c>
      <c r="P682">
        <f>VLOOKUP(C682,Customers!$A:$F,3,FALSE)</f>
        <v>48</v>
      </c>
      <c r="Q682" t="str">
        <f>VLOOKUP(E682,Sales_Reps!$A:$E,3,FALSE)</f>
        <v>North</v>
      </c>
      <c r="R682" t="str">
        <f>VLOOKUP(E682,Sales_Reps!$A:$E,2,FALSE)</f>
        <v>Suresh Menon</v>
      </c>
      <c r="S682">
        <f t="shared" si="10"/>
        <v>0.2786764705882353</v>
      </c>
    </row>
    <row r="683" spans="1:19" x14ac:dyDescent="0.3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  <c r="L683" t="str">
        <f>VLOOKUP(D683,Products!$A:$F,3,FALSE)</f>
        <v>Sports</v>
      </c>
      <c r="M683" t="b">
        <f>VLOOKUP(D683,Products!$A:$F,6,FALSE)</f>
        <v>1</v>
      </c>
      <c r="N683">
        <f>VLOOKUP(D683,Products!$A:$F,4,FALSE)</f>
        <v>2827</v>
      </c>
      <c r="O683" t="str">
        <f>VLOOKUP(C683,Customers!$A:$F,5,FALSE)</f>
        <v>Retail</v>
      </c>
      <c r="P683">
        <f>VLOOKUP(C683,Customers!$A:$F,3,FALSE)</f>
        <v>24</v>
      </c>
      <c r="Q683" t="str">
        <f>VLOOKUP(E683,Sales_Reps!$A:$E,3,FALSE)</f>
        <v>West</v>
      </c>
      <c r="R683" t="str">
        <f>VLOOKUP(E683,Sales_Reps!$A:$E,2,FALSE)</f>
        <v>Ramesh Bhatt</v>
      </c>
      <c r="S683">
        <f t="shared" si="10"/>
        <v>0.5926512968299712</v>
      </c>
    </row>
    <row r="684" spans="1:19" x14ac:dyDescent="0.3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  <c r="L684" t="str">
        <f>VLOOKUP(D684,Products!$A:$F,3,FALSE)</f>
        <v>Apparel</v>
      </c>
      <c r="M684" t="b">
        <f>VLOOKUP(D684,Products!$A:$F,6,FALSE)</f>
        <v>1</v>
      </c>
      <c r="N684">
        <f>VLOOKUP(D684,Products!$A:$F,4,FALSE)</f>
        <v>2509</v>
      </c>
      <c r="O684" t="str">
        <f>VLOOKUP(C684,Customers!$A:$F,5,FALSE)</f>
        <v>Corporate</v>
      </c>
      <c r="P684">
        <f>VLOOKUP(C684,Customers!$A:$F,3,FALSE)</f>
        <v>42</v>
      </c>
      <c r="Q684" t="str">
        <f>VLOOKUP(E684,Sales_Reps!$A:$E,3,FALSE)</f>
        <v>North</v>
      </c>
      <c r="R684" t="str">
        <f>VLOOKUP(E684,Sales_Reps!$A:$E,2,FALSE)</f>
        <v>Suresh Menon</v>
      </c>
      <c r="S684">
        <f t="shared" si="10"/>
        <v>0.3069060773480663</v>
      </c>
    </row>
    <row r="685" spans="1:19" x14ac:dyDescent="0.3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  <c r="L685" t="str">
        <f>VLOOKUP(D685,Products!$A:$F,3,FALSE)</f>
        <v>Electronics</v>
      </c>
      <c r="M685" t="b">
        <f>VLOOKUP(D685,Products!$A:$F,6,FALSE)</f>
        <v>1</v>
      </c>
      <c r="N685">
        <f>VLOOKUP(D685,Products!$A:$F,4,FALSE)</f>
        <v>1149</v>
      </c>
      <c r="O685" t="str">
        <f>VLOOKUP(C685,Customers!$A:$F,5,FALSE)</f>
        <v>SMB</v>
      </c>
      <c r="P685">
        <f>VLOOKUP(C685,Customers!$A:$F,3,FALSE)</f>
        <v>53</v>
      </c>
      <c r="Q685" t="str">
        <f>VLOOKUP(E685,Sales_Reps!$A:$E,3,FALSE)</f>
        <v>West</v>
      </c>
      <c r="R685" t="str">
        <f>VLOOKUP(E685,Sales_Reps!$A:$E,2,FALSE)</f>
        <v>Ashok Reddy</v>
      </c>
      <c r="S685">
        <f t="shared" si="10"/>
        <v>0.56477272727272732</v>
      </c>
    </row>
    <row r="686" spans="1:19" x14ac:dyDescent="0.3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  <c r="L686" t="str">
        <f>VLOOKUP(D686,Products!$A:$F,3,FALSE)</f>
        <v>Home</v>
      </c>
      <c r="M686" t="b">
        <f>VLOOKUP(D686,Products!$A:$F,6,FALSE)</f>
        <v>1</v>
      </c>
      <c r="N686">
        <f>VLOOKUP(D686,Products!$A:$F,4,FALSE)</f>
        <v>2549</v>
      </c>
      <c r="O686" t="str">
        <f>VLOOKUP(C686,Customers!$A:$F,5,FALSE)</f>
        <v>Retail</v>
      </c>
      <c r="P686">
        <f>VLOOKUP(C686,Customers!$A:$F,3,FALSE)</f>
        <v>56</v>
      </c>
      <c r="Q686" t="str">
        <f>VLOOKUP(E686,Sales_Reps!$A:$E,3,FALSE)</f>
        <v>North</v>
      </c>
      <c r="R686" t="str">
        <f>VLOOKUP(E686,Sales_Reps!$A:$E,2,FALSE)</f>
        <v>Neha Desai</v>
      </c>
      <c r="S686">
        <f t="shared" si="10"/>
        <v>0.53570127504553733</v>
      </c>
    </row>
    <row r="687" spans="1:19" x14ac:dyDescent="0.3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  <c r="L687" t="str">
        <f>VLOOKUP(D687,Products!$A:$F,3,FALSE)</f>
        <v>Home</v>
      </c>
      <c r="M687" t="b">
        <f>VLOOKUP(D687,Products!$A:$F,6,FALSE)</f>
        <v>1</v>
      </c>
      <c r="N687">
        <f>VLOOKUP(D687,Products!$A:$F,4,FALSE)</f>
        <v>2459</v>
      </c>
      <c r="O687" t="str">
        <f>VLOOKUP(C687,Customers!$A:$F,5,FALSE)</f>
        <v>SMB</v>
      </c>
      <c r="P687">
        <f>VLOOKUP(C687,Customers!$A:$F,3,FALSE)</f>
        <v>39</v>
      </c>
      <c r="Q687" t="str">
        <f>VLOOKUP(E687,Sales_Reps!$A:$E,3,FALSE)</f>
        <v>East</v>
      </c>
      <c r="R687" t="str">
        <f>VLOOKUP(E687,Sales_Reps!$A:$E,2,FALSE)</f>
        <v>Naveen Singh</v>
      </c>
      <c r="S687">
        <f t="shared" si="10"/>
        <v>0.51594488188976373</v>
      </c>
    </row>
    <row r="688" spans="1:19" x14ac:dyDescent="0.3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  <c r="L688" t="str">
        <f>VLOOKUP(D688,Products!$A:$F,3,FALSE)</f>
        <v>Beauty</v>
      </c>
      <c r="M688" t="b">
        <f>VLOOKUP(D688,Products!$A:$F,6,FALSE)</f>
        <v>1</v>
      </c>
      <c r="N688">
        <f>VLOOKUP(D688,Products!$A:$F,4,FALSE)</f>
        <v>1219</v>
      </c>
      <c r="O688" t="str">
        <f>VLOOKUP(C688,Customers!$A:$F,5,FALSE)</f>
        <v>SMB</v>
      </c>
      <c r="P688">
        <f>VLOOKUP(C688,Customers!$A:$F,3,FALSE)</f>
        <v>28</v>
      </c>
      <c r="Q688" t="str">
        <f>VLOOKUP(E688,Sales_Reps!$A:$E,3,FALSE)</f>
        <v>West</v>
      </c>
      <c r="R688" t="str">
        <f>VLOOKUP(E688,Sales_Reps!$A:$E,2,FALSE)</f>
        <v>Kiran Bhatt</v>
      </c>
      <c r="S688">
        <f t="shared" si="10"/>
        <v>0.46768558951965067</v>
      </c>
    </row>
    <row r="689" spans="1:19" x14ac:dyDescent="0.3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  <c r="L689" t="str">
        <f>VLOOKUP(D689,Products!$A:$F,3,FALSE)</f>
        <v>Home</v>
      </c>
      <c r="M689" t="b">
        <f>VLOOKUP(D689,Products!$A:$F,6,FALSE)</f>
        <v>1</v>
      </c>
      <c r="N689">
        <f>VLOOKUP(D689,Products!$A:$F,4,FALSE)</f>
        <v>1143</v>
      </c>
      <c r="O689" t="str">
        <f>VLOOKUP(C689,Customers!$A:$F,5,FALSE)</f>
        <v>Retail</v>
      </c>
      <c r="P689">
        <f>VLOOKUP(C689,Customers!$A:$F,3,FALSE)</f>
        <v>22</v>
      </c>
      <c r="Q689" t="str">
        <f>VLOOKUP(E689,Sales_Reps!$A:$E,3,FALSE)</f>
        <v>South</v>
      </c>
      <c r="R689" t="str">
        <f>VLOOKUP(E689,Sales_Reps!$A:$E,2,FALSE)</f>
        <v>Anil Verma</v>
      </c>
      <c r="S689">
        <f t="shared" si="10"/>
        <v>0.43694581280788175</v>
      </c>
    </row>
    <row r="690" spans="1:19" x14ac:dyDescent="0.3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  <c r="L690" t="str">
        <f>VLOOKUP(D690,Products!$A:$F,3,FALSE)</f>
        <v>Electronics</v>
      </c>
      <c r="M690" t="b">
        <f>VLOOKUP(D690,Products!$A:$F,6,FALSE)</f>
        <v>1</v>
      </c>
      <c r="N690">
        <f>VLOOKUP(D690,Products!$A:$F,4,FALSE)</f>
        <v>861</v>
      </c>
      <c r="O690" t="str">
        <f>VLOOKUP(C690,Customers!$A:$F,5,FALSE)</f>
        <v>SMB</v>
      </c>
      <c r="P690">
        <f>VLOOKUP(C690,Customers!$A:$F,3,FALSE)</f>
        <v>61</v>
      </c>
      <c r="Q690" t="str">
        <f>VLOOKUP(E690,Sales_Reps!$A:$E,3,FALSE)</f>
        <v>South</v>
      </c>
      <c r="R690" t="str">
        <f>VLOOKUP(E690,Sales_Reps!$A:$E,2,FALSE)</f>
        <v>Pooja Nair</v>
      </c>
      <c r="S690">
        <f t="shared" si="10"/>
        <v>0.39790209790209791</v>
      </c>
    </row>
    <row r="691" spans="1:19" x14ac:dyDescent="0.3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  <c r="L691" t="str">
        <f>VLOOKUP(D691,Products!$A:$F,3,FALSE)</f>
        <v>Grocery</v>
      </c>
      <c r="M691" t="b">
        <f>VLOOKUP(D691,Products!$A:$F,6,FALSE)</f>
        <v>1</v>
      </c>
      <c r="N691">
        <f>VLOOKUP(D691,Products!$A:$F,4,FALSE)</f>
        <v>2436</v>
      </c>
      <c r="O691" t="str">
        <f>VLOOKUP(C691,Customers!$A:$F,5,FALSE)</f>
        <v>SMB</v>
      </c>
      <c r="P691">
        <f>VLOOKUP(C691,Customers!$A:$F,3,FALSE)</f>
        <v>54</v>
      </c>
      <c r="Q691" t="str">
        <f>VLOOKUP(E691,Sales_Reps!$A:$E,3,FALSE)</f>
        <v>South</v>
      </c>
      <c r="R691" t="str">
        <f>VLOOKUP(E691,Sales_Reps!$A:$E,2,FALSE)</f>
        <v>Manoj Patel</v>
      </c>
      <c r="S691">
        <f t="shared" si="10"/>
        <v>0.35555555555555557</v>
      </c>
    </row>
    <row r="692" spans="1:19" x14ac:dyDescent="0.3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  <c r="L692" t="str">
        <f>VLOOKUP(D692,Products!$A:$F,3,FALSE)</f>
        <v>Apparel</v>
      </c>
      <c r="M692" t="b">
        <f>VLOOKUP(D692,Products!$A:$F,6,FALSE)</f>
        <v>1</v>
      </c>
      <c r="N692">
        <f>VLOOKUP(D692,Products!$A:$F,4,FALSE)</f>
        <v>1886</v>
      </c>
      <c r="O692" t="str">
        <f>VLOOKUP(C692,Customers!$A:$F,5,FALSE)</f>
        <v>Retail</v>
      </c>
      <c r="P692">
        <f>VLOOKUP(C692,Customers!$A:$F,3,FALSE)</f>
        <v>50</v>
      </c>
      <c r="Q692" t="str">
        <f>VLOOKUP(E692,Sales_Reps!$A:$E,3,FALSE)</f>
        <v>East</v>
      </c>
      <c r="R692" t="str">
        <f>VLOOKUP(E692,Sales_Reps!$A:$E,2,FALSE)</f>
        <v>Gaurav Desai</v>
      </c>
      <c r="S692">
        <f t="shared" si="10"/>
        <v>0.4031645569620253</v>
      </c>
    </row>
    <row r="693" spans="1:19" x14ac:dyDescent="0.3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  <c r="L693" t="str">
        <f>VLOOKUP(D693,Products!$A:$F,3,FALSE)</f>
        <v>Electronics</v>
      </c>
      <c r="M693" t="b">
        <f>VLOOKUP(D693,Products!$A:$F,6,FALSE)</f>
        <v>1</v>
      </c>
      <c r="N693">
        <f>VLOOKUP(D693,Products!$A:$F,4,FALSE)</f>
        <v>861</v>
      </c>
      <c r="O693" t="str">
        <f>VLOOKUP(C693,Customers!$A:$F,5,FALSE)</f>
        <v>Retail</v>
      </c>
      <c r="P693">
        <f>VLOOKUP(C693,Customers!$A:$F,3,FALSE)</f>
        <v>65</v>
      </c>
      <c r="Q693" t="str">
        <f>VLOOKUP(E693,Sales_Reps!$A:$E,3,FALSE)</f>
        <v>North</v>
      </c>
      <c r="R693" t="str">
        <f>VLOOKUP(E693,Sales_Reps!$A:$E,2,FALSE)</f>
        <v>Amit Singh</v>
      </c>
      <c r="S693">
        <f t="shared" si="10"/>
        <v>0.39790209790209791</v>
      </c>
    </row>
    <row r="694" spans="1:19" x14ac:dyDescent="0.3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  <c r="L694" t="str">
        <f>VLOOKUP(D694,Products!$A:$F,3,FALSE)</f>
        <v>Apparel</v>
      </c>
      <c r="M694" t="b">
        <f>VLOOKUP(D694,Products!$A:$F,6,FALSE)</f>
        <v>1</v>
      </c>
      <c r="N694">
        <f>VLOOKUP(D694,Products!$A:$F,4,FALSE)</f>
        <v>1886</v>
      </c>
      <c r="O694" t="str">
        <f>VLOOKUP(C694,Customers!$A:$F,5,FALSE)</f>
        <v>SMB</v>
      </c>
      <c r="P694">
        <f>VLOOKUP(C694,Customers!$A:$F,3,FALSE)</f>
        <v>64</v>
      </c>
      <c r="Q694" t="str">
        <f>VLOOKUP(E694,Sales_Reps!$A:$E,3,FALSE)</f>
        <v>North</v>
      </c>
      <c r="R694" t="str">
        <f>VLOOKUP(E694,Sales_Reps!$A:$E,2,FALSE)</f>
        <v>Neha Desai</v>
      </c>
      <c r="S694">
        <f t="shared" si="10"/>
        <v>0.4031645569620253</v>
      </c>
    </row>
    <row r="695" spans="1:19" x14ac:dyDescent="0.3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  <c r="L695" t="str">
        <f>VLOOKUP(D695,Products!$A:$F,3,FALSE)</f>
        <v>Beauty</v>
      </c>
      <c r="M695" t="b">
        <f>VLOOKUP(D695,Products!$A:$F,6,FALSE)</f>
        <v>1</v>
      </c>
      <c r="N695">
        <f>VLOOKUP(D695,Products!$A:$F,4,FALSE)</f>
        <v>1219</v>
      </c>
      <c r="O695" t="str">
        <f>VLOOKUP(C695,Customers!$A:$F,5,FALSE)</f>
        <v>Retail</v>
      </c>
      <c r="P695">
        <f>VLOOKUP(C695,Customers!$A:$F,3,FALSE)</f>
        <v>36</v>
      </c>
      <c r="Q695" t="str">
        <f>VLOOKUP(E695,Sales_Reps!$A:$E,3,FALSE)</f>
        <v>North</v>
      </c>
      <c r="R695" t="str">
        <f>VLOOKUP(E695,Sales_Reps!$A:$E,2,FALSE)</f>
        <v>Priya Singh</v>
      </c>
      <c r="S695">
        <f t="shared" si="10"/>
        <v>0.46768558951965067</v>
      </c>
    </row>
    <row r="696" spans="1:19" x14ac:dyDescent="0.3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  <c r="L696" t="str">
        <f>VLOOKUP(D696,Products!$A:$F,3,FALSE)</f>
        <v>Apparel</v>
      </c>
      <c r="M696" t="b">
        <f>VLOOKUP(D696,Products!$A:$F,6,FALSE)</f>
        <v>1</v>
      </c>
      <c r="N696">
        <f>VLOOKUP(D696,Products!$A:$F,4,FALSE)</f>
        <v>1748</v>
      </c>
      <c r="O696" t="str">
        <f>VLOOKUP(C696,Customers!$A:$F,5,FALSE)</f>
        <v>Retail</v>
      </c>
      <c r="P696">
        <f>VLOOKUP(C696,Customers!$A:$F,3,FALSE)</f>
        <v>36</v>
      </c>
      <c r="Q696" t="str">
        <f>VLOOKUP(E696,Sales_Reps!$A:$E,3,FALSE)</f>
        <v>South</v>
      </c>
      <c r="R696" t="str">
        <f>VLOOKUP(E696,Sales_Reps!$A:$E,2,FALSE)</f>
        <v>Deepak Shah</v>
      </c>
      <c r="S696">
        <f t="shared" si="10"/>
        <v>0.49333333333333335</v>
      </c>
    </row>
    <row r="697" spans="1:19" x14ac:dyDescent="0.3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  <c r="L697" t="str">
        <f>VLOOKUP(D697,Products!$A:$F,3,FALSE)</f>
        <v>Apparel</v>
      </c>
      <c r="M697" t="b">
        <f>VLOOKUP(D697,Products!$A:$F,6,FALSE)</f>
        <v>1</v>
      </c>
      <c r="N697">
        <f>VLOOKUP(D697,Products!$A:$F,4,FALSE)</f>
        <v>2629</v>
      </c>
      <c r="O697" t="str">
        <f>VLOOKUP(C697,Customers!$A:$F,5,FALSE)</f>
        <v>Retail</v>
      </c>
      <c r="P697">
        <f>VLOOKUP(C697,Customers!$A:$F,3,FALSE)</f>
        <v>51</v>
      </c>
      <c r="Q697" t="str">
        <f>VLOOKUP(E697,Sales_Reps!$A:$E,3,FALSE)</f>
        <v>North</v>
      </c>
      <c r="R697" t="str">
        <f>VLOOKUP(E697,Sales_Reps!$A:$E,2,FALSE)</f>
        <v>Rajesh Malhotra</v>
      </c>
      <c r="S697">
        <f t="shared" si="10"/>
        <v>0.26151685393258428</v>
      </c>
    </row>
    <row r="698" spans="1:19" x14ac:dyDescent="0.3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  <c r="L698" t="str">
        <f>VLOOKUP(D698,Products!$A:$F,3,FALSE)</f>
        <v>Sports</v>
      </c>
      <c r="M698" t="b">
        <f>VLOOKUP(D698,Products!$A:$F,6,FALSE)</f>
        <v>1</v>
      </c>
      <c r="N698">
        <f>VLOOKUP(D698,Products!$A:$F,4,FALSE)</f>
        <v>974</v>
      </c>
      <c r="O698" t="str">
        <f>VLOOKUP(C698,Customers!$A:$F,5,FALSE)</f>
        <v>Corporate</v>
      </c>
      <c r="P698">
        <f>VLOOKUP(C698,Customers!$A:$F,3,FALSE)</f>
        <v>46</v>
      </c>
      <c r="Q698" t="str">
        <f>VLOOKUP(E698,Sales_Reps!$A:$E,3,FALSE)</f>
        <v>South</v>
      </c>
      <c r="R698" t="str">
        <f>VLOOKUP(E698,Sales_Reps!$A:$E,2,FALSE)</f>
        <v>Manoj Patel</v>
      </c>
      <c r="S698">
        <f t="shared" si="10"/>
        <v>0.59416666666666662</v>
      </c>
    </row>
    <row r="699" spans="1:19" x14ac:dyDescent="0.3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  <c r="L699" t="str">
        <f>VLOOKUP(D699,Products!$A:$F,3,FALSE)</f>
        <v>Electronics</v>
      </c>
      <c r="M699" t="b">
        <f>VLOOKUP(D699,Products!$A:$F,6,FALSE)</f>
        <v>1</v>
      </c>
      <c r="N699">
        <f>VLOOKUP(D699,Products!$A:$F,4,FALSE)</f>
        <v>1559</v>
      </c>
      <c r="O699" t="str">
        <f>VLOOKUP(C699,Customers!$A:$F,5,FALSE)</f>
        <v>Retail</v>
      </c>
      <c r="P699">
        <f>VLOOKUP(C699,Customers!$A:$F,3,FALSE)</f>
        <v>60</v>
      </c>
      <c r="Q699" t="str">
        <f>VLOOKUP(E699,Sales_Reps!$A:$E,3,FALSE)</f>
        <v>East</v>
      </c>
      <c r="R699" t="str">
        <f>VLOOKUP(E699,Sales_Reps!$A:$E,2,FALSE)</f>
        <v>Vinod Kumar</v>
      </c>
      <c r="S699">
        <f t="shared" si="10"/>
        <v>0.59715762273901807</v>
      </c>
    </row>
    <row r="700" spans="1:19" x14ac:dyDescent="0.3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  <c r="L700" t="str">
        <f>VLOOKUP(D700,Products!$A:$F,3,FALSE)</f>
        <v>Grocery</v>
      </c>
      <c r="M700" t="b">
        <f>VLOOKUP(D700,Products!$A:$F,6,FALSE)</f>
        <v>0</v>
      </c>
      <c r="N700">
        <f>VLOOKUP(D700,Products!$A:$F,4,FALSE)</f>
        <v>2214</v>
      </c>
      <c r="O700" t="str">
        <f>VLOOKUP(C700,Customers!$A:$F,5,FALSE)</f>
        <v>Retail</v>
      </c>
      <c r="P700">
        <f>VLOOKUP(C700,Customers!$A:$F,3,FALSE)</f>
        <v>53</v>
      </c>
      <c r="Q700" t="str">
        <f>VLOOKUP(E700,Sales_Reps!$A:$E,3,FALSE)</f>
        <v>East</v>
      </c>
      <c r="R700" t="str">
        <f>VLOOKUP(E700,Sales_Reps!$A:$E,2,FALSE)</f>
        <v>Nisha Menon</v>
      </c>
      <c r="S700">
        <f t="shared" si="10"/>
        <v>0.39508196721311473</v>
      </c>
    </row>
    <row r="701" spans="1:19" x14ac:dyDescent="0.3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  <c r="L701" t="str">
        <f>VLOOKUP(D701,Products!$A:$F,3,FALSE)</f>
        <v>Home</v>
      </c>
      <c r="M701" t="b">
        <f>VLOOKUP(D701,Products!$A:$F,6,FALSE)</f>
        <v>1</v>
      </c>
      <c r="N701">
        <f>VLOOKUP(D701,Products!$A:$F,4,FALSE)</f>
        <v>519</v>
      </c>
      <c r="O701" t="str">
        <f>VLOOKUP(C701,Customers!$A:$F,5,FALSE)</f>
        <v>Corporate</v>
      </c>
      <c r="P701">
        <f>VLOOKUP(C701,Customers!$A:$F,3,FALSE)</f>
        <v>24</v>
      </c>
      <c r="Q701" t="str">
        <f>VLOOKUP(E701,Sales_Reps!$A:$E,3,FALSE)</f>
        <v>West</v>
      </c>
      <c r="R701" t="str">
        <f>VLOOKUP(E701,Sales_Reps!$A:$E,2,FALSE)</f>
        <v>Kiran Bhatt</v>
      </c>
      <c r="S701">
        <f t="shared" si="10"/>
        <v>0.51944444444444449</v>
      </c>
    </row>
    <row r="702" spans="1:19" x14ac:dyDescent="0.3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  <c r="L702" t="str">
        <f>VLOOKUP(D702,Products!$A:$F,3,FALSE)</f>
        <v>Sports</v>
      </c>
      <c r="M702" t="b">
        <f>VLOOKUP(D702,Products!$A:$F,6,FALSE)</f>
        <v>1</v>
      </c>
      <c r="N702">
        <f>VLOOKUP(D702,Products!$A:$F,4,FALSE)</f>
        <v>1860</v>
      </c>
      <c r="O702" t="str">
        <f>VLOOKUP(C702,Customers!$A:$F,5,FALSE)</f>
        <v>Retail</v>
      </c>
      <c r="P702">
        <f>VLOOKUP(C702,Customers!$A:$F,3,FALSE)</f>
        <v>52</v>
      </c>
      <c r="Q702" t="str">
        <f>VLOOKUP(E702,Sales_Reps!$A:$E,3,FALSE)</f>
        <v>North</v>
      </c>
      <c r="R702" t="str">
        <f>VLOOKUP(E702,Sales_Reps!$A:$E,2,FALSE)</f>
        <v>Neha Desai</v>
      </c>
      <c r="S702">
        <f t="shared" si="10"/>
        <v>0.50793650793650791</v>
      </c>
    </row>
    <row r="703" spans="1:19" x14ac:dyDescent="0.3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  <c r="L703" t="str">
        <f>VLOOKUP(D703,Products!$A:$F,3,FALSE)</f>
        <v>Apparel</v>
      </c>
      <c r="M703" t="b">
        <f>VLOOKUP(D703,Products!$A:$F,6,FALSE)</f>
        <v>1</v>
      </c>
      <c r="N703">
        <f>VLOOKUP(D703,Products!$A:$F,4,FALSE)</f>
        <v>1173</v>
      </c>
      <c r="O703" t="str">
        <f>VLOOKUP(C703,Customers!$A:$F,5,FALSE)</f>
        <v>SMB</v>
      </c>
      <c r="P703">
        <f>VLOOKUP(C703,Customers!$A:$F,3,FALSE)</f>
        <v>54</v>
      </c>
      <c r="Q703" t="str">
        <f>VLOOKUP(E703,Sales_Reps!$A:$E,3,FALSE)</f>
        <v>East</v>
      </c>
      <c r="R703" t="str">
        <f>VLOOKUP(E703,Sales_Reps!$A:$E,2,FALSE)</f>
        <v>Nisha Menon</v>
      </c>
      <c r="S703">
        <f t="shared" si="10"/>
        <v>0.52701612903225803</v>
      </c>
    </row>
    <row r="704" spans="1:19" x14ac:dyDescent="0.3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  <c r="L704" t="str">
        <f>VLOOKUP(D704,Products!$A:$F,3,FALSE)</f>
        <v>Sports</v>
      </c>
      <c r="M704" t="b">
        <f>VLOOKUP(D704,Products!$A:$F,6,FALSE)</f>
        <v>1</v>
      </c>
      <c r="N704">
        <f>VLOOKUP(D704,Products!$A:$F,4,FALSE)</f>
        <v>516</v>
      </c>
      <c r="O704" t="str">
        <f>VLOOKUP(C704,Customers!$A:$F,5,FALSE)</f>
        <v>SMB</v>
      </c>
      <c r="P704">
        <f>VLOOKUP(C704,Customers!$A:$F,3,FALSE)</f>
        <v>54</v>
      </c>
      <c r="Q704" t="str">
        <f>VLOOKUP(E704,Sales_Reps!$A:$E,3,FALSE)</f>
        <v>South</v>
      </c>
      <c r="R704" t="str">
        <f>VLOOKUP(E704,Sales_Reps!$A:$E,2,FALSE)</f>
        <v>Ritu Menon</v>
      </c>
      <c r="S704">
        <f t="shared" si="10"/>
        <v>0.4891089108910891</v>
      </c>
    </row>
    <row r="705" spans="1:19" x14ac:dyDescent="0.3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  <c r="L705" t="str">
        <f>VLOOKUP(D705,Products!$A:$F,3,FALSE)</f>
        <v>Sports</v>
      </c>
      <c r="M705" t="b">
        <f>VLOOKUP(D705,Products!$A:$F,6,FALSE)</f>
        <v>0</v>
      </c>
      <c r="N705">
        <f>VLOOKUP(D705,Products!$A:$F,4,FALSE)</f>
        <v>302</v>
      </c>
      <c r="O705" t="str">
        <f>VLOOKUP(C705,Customers!$A:$F,5,FALSE)</f>
        <v>Retail</v>
      </c>
      <c r="P705">
        <f>VLOOKUP(C705,Customers!$A:$F,3,FALSE)</f>
        <v>63</v>
      </c>
      <c r="Q705" t="str">
        <f>VLOOKUP(E705,Sales_Reps!$A:$E,3,FALSE)</f>
        <v>South</v>
      </c>
      <c r="R705" t="str">
        <f>VLOOKUP(E705,Sales_Reps!$A:$E,2,FALSE)</f>
        <v>Deepak Shah</v>
      </c>
      <c r="S705">
        <f t="shared" si="10"/>
        <v>0.35744680851063831</v>
      </c>
    </row>
    <row r="706" spans="1:19" x14ac:dyDescent="0.3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  <c r="L706" t="str">
        <f>VLOOKUP(D706,Products!$A:$F,3,FALSE)</f>
        <v>Grocery</v>
      </c>
      <c r="M706" t="b">
        <f>VLOOKUP(D706,Products!$A:$F,6,FALSE)</f>
        <v>1</v>
      </c>
      <c r="N706">
        <f>VLOOKUP(D706,Products!$A:$F,4,FALSE)</f>
        <v>1203</v>
      </c>
      <c r="O706" t="str">
        <f>VLOOKUP(C706,Customers!$A:$F,5,FALSE)</f>
        <v>Retail</v>
      </c>
      <c r="P706">
        <f>VLOOKUP(C706,Customers!$A:$F,3,FALSE)</f>
        <v>24</v>
      </c>
      <c r="Q706" t="str">
        <f>VLOOKUP(E706,Sales_Reps!$A:$E,3,FALSE)</f>
        <v>East</v>
      </c>
      <c r="R706" t="str">
        <f>VLOOKUP(E706,Sales_Reps!$A:$E,2,FALSE)</f>
        <v>Prakash Shah</v>
      </c>
      <c r="S706">
        <f t="shared" si="10"/>
        <v>0.47004405286343615</v>
      </c>
    </row>
    <row r="707" spans="1:19" x14ac:dyDescent="0.3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  <c r="L707" t="str">
        <f>VLOOKUP(D707,Products!$A:$F,3,FALSE)</f>
        <v>Grocery</v>
      </c>
      <c r="M707" t="b">
        <f>VLOOKUP(D707,Products!$A:$F,6,FALSE)</f>
        <v>1</v>
      </c>
      <c r="N707">
        <f>VLOOKUP(D707,Products!$A:$F,4,FALSE)</f>
        <v>1435</v>
      </c>
      <c r="O707" t="str">
        <f>VLOOKUP(C707,Customers!$A:$F,5,FALSE)</f>
        <v>Retail</v>
      </c>
      <c r="P707">
        <f>VLOOKUP(C707,Customers!$A:$F,3,FALSE)</f>
        <v>53</v>
      </c>
      <c r="Q707" t="str">
        <f>VLOOKUP(E707,Sales_Reps!$A:$E,3,FALSE)</f>
        <v>South</v>
      </c>
      <c r="R707" t="str">
        <f>VLOOKUP(E707,Sales_Reps!$A:$E,2,FALSE)</f>
        <v>Divya Rao</v>
      </c>
      <c r="S707">
        <f t="shared" ref="S707:S770" si="11">IFERROR((G707-N707)/G707,"")</f>
        <v>0.48007246376811596</v>
      </c>
    </row>
    <row r="708" spans="1:19" x14ac:dyDescent="0.3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  <c r="L708" t="str">
        <f>VLOOKUP(D708,Products!$A:$F,3,FALSE)</f>
        <v>Sports</v>
      </c>
      <c r="M708" t="b">
        <f>VLOOKUP(D708,Products!$A:$F,6,FALSE)</f>
        <v>1</v>
      </c>
      <c r="N708">
        <f>VLOOKUP(D708,Products!$A:$F,4,FALSE)</f>
        <v>2467</v>
      </c>
      <c r="O708" t="str">
        <f>VLOOKUP(C708,Customers!$A:$F,5,FALSE)</f>
        <v>Retail</v>
      </c>
      <c r="P708">
        <f>VLOOKUP(C708,Customers!$A:$F,3,FALSE)</f>
        <v>41</v>
      </c>
      <c r="Q708" t="str">
        <f>VLOOKUP(E708,Sales_Reps!$A:$E,3,FALSE)</f>
        <v>North</v>
      </c>
      <c r="R708" t="str">
        <f>VLOOKUP(E708,Sales_Reps!$A:$E,2,FALSE)</f>
        <v>Kavita Patel</v>
      </c>
      <c r="S708">
        <f t="shared" si="11"/>
        <v>0.28492753623188405</v>
      </c>
    </row>
    <row r="709" spans="1:19" x14ac:dyDescent="0.3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  <c r="L709" t="str">
        <f>VLOOKUP(D709,Products!$A:$F,3,FALSE)</f>
        <v>Grocery</v>
      </c>
      <c r="M709" t="b">
        <f>VLOOKUP(D709,Products!$A:$F,6,FALSE)</f>
        <v>0</v>
      </c>
      <c r="N709">
        <f>VLOOKUP(D709,Products!$A:$F,4,FALSE)</f>
        <v>2214</v>
      </c>
      <c r="O709" t="str">
        <f>VLOOKUP(C709,Customers!$A:$F,5,FALSE)</f>
        <v>Retail</v>
      </c>
      <c r="P709">
        <f>VLOOKUP(C709,Customers!$A:$F,3,FALSE)</f>
        <v>22</v>
      </c>
      <c r="Q709" t="str">
        <f>VLOOKUP(E709,Sales_Reps!$A:$E,3,FALSE)</f>
        <v>North</v>
      </c>
      <c r="R709" t="str">
        <f>VLOOKUP(E709,Sales_Reps!$A:$E,2,FALSE)</f>
        <v>Suresh Menon</v>
      </c>
      <c r="S709">
        <f t="shared" si="11"/>
        <v>0.39508196721311473</v>
      </c>
    </row>
    <row r="710" spans="1:19" x14ac:dyDescent="0.3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  <c r="L710" t="str">
        <f>VLOOKUP(D710,Products!$A:$F,3,FALSE)</f>
        <v>Electronics</v>
      </c>
      <c r="M710" t="b">
        <f>VLOOKUP(D710,Products!$A:$F,6,FALSE)</f>
        <v>1</v>
      </c>
      <c r="N710">
        <f>VLOOKUP(D710,Products!$A:$F,4,FALSE)</f>
        <v>517</v>
      </c>
      <c r="O710" t="str">
        <f>VLOOKUP(C710,Customers!$A:$F,5,FALSE)</f>
        <v>Retail</v>
      </c>
      <c r="P710">
        <f>VLOOKUP(C710,Customers!$A:$F,3,FALSE)</f>
        <v>39</v>
      </c>
      <c r="Q710" t="str">
        <f>VLOOKUP(E710,Sales_Reps!$A:$E,3,FALSE)</f>
        <v>West</v>
      </c>
      <c r="R710" t="str">
        <f>VLOOKUP(E710,Sales_Reps!$A:$E,2,FALSE)</f>
        <v>Kiran Bhatt</v>
      </c>
      <c r="S710">
        <f t="shared" si="11"/>
        <v>0.57622950819672136</v>
      </c>
    </row>
    <row r="711" spans="1:19" x14ac:dyDescent="0.3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  <c r="L711" t="str">
        <f>VLOOKUP(D711,Products!$A:$F,3,FALSE)</f>
        <v>Sports</v>
      </c>
      <c r="M711" t="b">
        <f>VLOOKUP(D711,Products!$A:$F,6,FALSE)</f>
        <v>1</v>
      </c>
      <c r="N711">
        <f>VLOOKUP(D711,Products!$A:$F,4,FALSE)</f>
        <v>2265</v>
      </c>
      <c r="O711" t="str">
        <f>VLOOKUP(C711,Customers!$A:$F,5,FALSE)</f>
        <v>SMB</v>
      </c>
      <c r="P711">
        <f>VLOOKUP(C711,Customers!$A:$F,3,FALSE)</f>
        <v>28</v>
      </c>
      <c r="Q711" t="str">
        <f>VLOOKUP(E711,Sales_Reps!$A:$E,3,FALSE)</f>
        <v>North</v>
      </c>
      <c r="R711" t="str">
        <f>VLOOKUP(E711,Sales_Reps!$A:$E,2,FALSE)</f>
        <v>Suresh Menon</v>
      </c>
      <c r="S711">
        <f t="shared" si="11"/>
        <v>0.58133086876155271</v>
      </c>
    </row>
    <row r="712" spans="1:19" x14ac:dyDescent="0.3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  <c r="L712" t="str">
        <f>VLOOKUP(D712,Products!$A:$F,3,FALSE)</f>
        <v>Home</v>
      </c>
      <c r="M712" t="b">
        <f>VLOOKUP(D712,Products!$A:$F,6,FALSE)</f>
        <v>1</v>
      </c>
      <c r="N712">
        <f>VLOOKUP(D712,Products!$A:$F,4,FALSE)</f>
        <v>1143</v>
      </c>
      <c r="O712" t="str">
        <f>VLOOKUP(C712,Customers!$A:$F,5,FALSE)</f>
        <v>Retail</v>
      </c>
      <c r="P712">
        <f>VLOOKUP(C712,Customers!$A:$F,3,FALSE)</f>
        <v>22</v>
      </c>
      <c r="Q712" t="str">
        <f>VLOOKUP(E712,Sales_Reps!$A:$E,3,FALSE)</f>
        <v>South</v>
      </c>
      <c r="R712" t="str">
        <f>VLOOKUP(E712,Sales_Reps!$A:$E,2,FALSE)</f>
        <v>Manoj Patel</v>
      </c>
      <c r="S712">
        <f t="shared" si="11"/>
        <v>0.43694581280788175</v>
      </c>
    </row>
    <row r="713" spans="1:19" x14ac:dyDescent="0.3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  <c r="L713" t="str">
        <f>VLOOKUP(D713,Products!$A:$F,3,FALSE)</f>
        <v>Electronics</v>
      </c>
      <c r="M713" t="b">
        <f>VLOOKUP(D713,Products!$A:$F,6,FALSE)</f>
        <v>1</v>
      </c>
      <c r="N713">
        <f>VLOOKUP(D713,Products!$A:$F,4,FALSE)</f>
        <v>517</v>
      </c>
      <c r="O713" t="str">
        <f>VLOOKUP(C713,Customers!$A:$F,5,FALSE)</f>
        <v>Retail</v>
      </c>
      <c r="P713">
        <f>VLOOKUP(C713,Customers!$A:$F,3,FALSE)</f>
        <v>26</v>
      </c>
      <c r="Q713" t="str">
        <f>VLOOKUP(E713,Sales_Reps!$A:$E,3,FALSE)</f>
        <v>South</v>
      </c>
      <c r="R713" t="str">
        <f>VLOOKUP(E713,Sales_Reps!$A:$E,2,FALSE)</f>
        <v>Pooja Nair</v>
      </c>
      <c r="S713">
        <f t="shared" si="11"/>
        <v>0.57622950819672136</v>
      </c>
    </row>
    <row r="714" spans="1:19" x14ac:dyDescent="0.3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  <c r="L714" t="str">
        <f>VLOOKUP(D714,Products!$A:$F,3,FALSE)</f>
        <v>Electronics</v>
      </c>
      <c r="M714" t="b">
        <f>VLOOKUP(D714,Products!$A:$F,6,FALSE)</f>
        <v>0</v>
      </c>
      <c r="N714">
        <f>VLOOKUP(D714,Products!$A:$F,4,FALSE)</f>
        <v>1259</v>
      </c>
      <c r="O714" t="str">
        <f>VLOOKUP(C714,Customers!$A:$F,5,FALSE)</f>
        <v>Corporate</v>
      </c>
      <c r="P714">
        <f>VLOOKUP(C714,Customers!$A:$F,3,FALSE)</f>
        <v>55</v>
      </c>
      <c r="Q714" t="str">
        <f>VLOOKUP(E714,Sales_Reps!$A:$E,3,FALSE)</f>
        <v>North</v>
      </c>
      <c r="R714" t="str">
        <f>VLOOKUP(E714,Sales_Reps!$A:$E,2,FALSE)</f>
        <v>Neha Desai</v>
      </c>
      <c r="S714">
        <f t="shared" si="11"/>
        <v>0.52669172932330832</v>
      </c>
    </row>
    <row r="715" spans="1:19" x14ac:dyDescent="0.3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  <c r="L715" t="str">
        <f>VLOOKUP(D715,Products!$A:$F,3,FALSE)</f>
        <v>Grocery</v>
      </c>
      <c r="M715" t="b">
        <f>VLOOKUP(D715,Products!$A:$F,6,FALSE)</f>
        <v>1</v>
      </c>
      <c r="N715">
        <f>VLOOKUP(D715,Products!$A:$F,4,FALSE)</f>
        <v>2027</v>
      </c>
      <c r="O715" t="str">
        <f>VLOOKUP(C715,Customers!$A:$F,5,FALSE)</f>
        <v>SMB</v>
      </c>
      <c r="P715">
        <f>VLOOKUP(C715,Customers!$A:$F,3,FALSE)</f>
        <v>42</v>
      </c>
      <c r="Q715" t="str">
        <f>VLOOKUP(E715,Sales_Reps!$A:$E,3,FALSE)</f>
        <v>South</v>
      </c>
      <c r="R715" t="str">
        <f>VLOOKUP(E715,Sales_Reps!$A:$E,2,FALSE)</f>
        <v>Anjali Chopra</v>
      </c>
      <c r="S715">
        <f t="shared" si="11"/>
        <v>0.50196560196560192</v>
      </c>
    </row>
    <row r="716" spans="1:19" x14ac:dyDescent="0.3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  <c r="L716" t="str">
        <f>VLOOKUP(D716,Products!$A:$F,3,FALSE)</f>
        <v>Beauty</v>
      </c>
      <c r="M716" t="b">
        <f>VLOOKUP(D716,Products!$A:$F,6,FALSE)</f>
        <v>1</v>
      </c>
      <c r="N716">
        <f>VLOOKUP(D716,Products!$A:$F,4,FALSE)</f>
        <v>675</v>
      </c>
      <c r="O716" t="str">
        <f>VLOOKUP(C716,Customers!$A:$F,5,FALSE)</f>
        <v>Retail</v>
      </c>
      <c r="P716">
        <f>VLOOKUP(C716,Customers!$A:$F,3,FALSE)</f>
        <v>31</v>
      </c>
      <c r="Q716" t="str">
        <f>VLOOKUP(E716,Sales_Reps!$A:$E,3,FALSE)</f>
        <v>South</v>
      </c>
      <c r="R716" t="str">
        <f>VLOOKUP(E716,Sales_Reps!$A:$E,2,FALSE)</f>
        <v>Ritu Menon</v>
      </c>
      <c r="S716">
        <f t="shared" si="11"/>
        <v>0.296875</v>
      </c>
    </row>
    <row r="717" spans="1:19" x14ac:dyDescent="0.3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  <c r="L717" t="str">
        <f>VLOOKUP(D717,Products!$A:$F,3,FALSE)</f>
        <v>Home</v>
      </c>
      <c r="M717" t="b">
        <f>VLOOKUP(D717,Products!$A:$F,6,FALSE)</f>
        <v>1</v>
      </c>
      <c r="N717">
        <f>VLOOKUP(D717,Products!$A:$F,4,FALSE)</f>
        <v>2135</v>
      </c>
      <c r="O717" t="str">
        <f>VLOOKUP(C717,Customers!$A:$F,5,FALSE)</f>
        <v>Corporate</v>
      </c>
      <c r="P717">
        <f>VLOOKUP(C717,Customers!$A:$F,3,FALSE)</f>
        <v>49</v>
      </c>
      <c r="Q717" t="str">
        <f>VLOOKUP(E717,Sales_Reps!$A:$E,3,FALSE)</f>
        <v>West</v>
      </c>
      <c r="R717" t="str">
        <f>VLOOKUP(E717,Sales_Reps!$A:$E,2,FALSE)</f>
        <v>Arun Iyer</v>
      </c>
      <c r="S717">
        <f t="shared" si="11"/>
        <v>0.42761394101876676</v>
      </c>
    </row>
    <row r="718" spans="1:19" x14ac:dyDescent="0.3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  <c r="L718" t="str">
        <f>VLOOKUP(D718,Products!$A:$F,3,FALSE)</f>
        <v>Sports</v>
      </c>
      <c r="M718" t="b">
        <f>VLOOKUP(D718,Products!$A:$F,6,FALSE)</f>
        <v>1</v>
      </c>
      <c r="N718">
        <f>VLOOKUP(D718,Products!$A:$F,4,FALSE)</f>
        <v>705</v>
      </c>
      <c r="O718" t="str">
        <f>VLOOKUP(C718,Customers!$A:$F,5,FALSE)</f>
        <v>SMB</v>
      </c>
      <c r="P718">
        <f>VLOOKUP(C718,Customers!$A:$F,3,FALSE)</f>
        <v>62</v>
      </c>
      <c r="Q718" t="str">
        <f>VLOOKUP(E718,Sales_Reps!$A:$E,3,FALSE)</f>
        <v>North</v>
      </c>
      <c r="R718" t="str">
        <f>VLOOKUP(E718,Sales_Reps!$A:$E,2,FALSE)</f>
        <v>Priya Singh</v>
      </c>
      <c r="S718">
        <f t="shared" si="11"/>
        <v>0.265625</v>
      </c>
    </row>
    <row r="719" spans="1:19" x14ac:dyDescent="0.3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  <c r="L719" t="str">
        <f>VLOOKUP(D719,Products!$A:$F,3,FALSE)</f>
        <v>Apparel</v>
      </c>
      <c r="M719" t="b">
        <f>VLOOKUP(D719,Products!$A:$F,6,FALSE)</f>
        <v>1</v>
      </c>
      <c r="N719">
        <f>VLOOKUP(D719,Products!$A:$F,4,FALSE)</f>
        <v>1748</v>
      </c>
      <c r="O719" t="str">
        <f>VLOOKUP(C719,Customers!$A:$F,5,FALSE)</f>
        <v>Retail</v>
      </c>
      <c r="P719">
        <f>VLOOKUP(C719,Customers!$A:$F,3,FALSE)</f>
        <v>38</v>
      </c>
      <c r="Q719" t="str">
        <f>VLOOKUP(E719,Sales_Reps!$A:$E,3,FALSE)</f>
        <v>North</v>
      </c>
      <c r="R719" t="str">
        <f>VLOOKUP(E719,Sales_Reps!$A:$E,2,FALSE)</f>
        <v>Priya Singh</v>
      </c>
      <c r="S719">
        <f t="shared" si="11"/>
        <v>0.49333333333333335</v>
      </c>
    </row>
    <row r="720" spans="1:19" x14ac:dyDescent="0.3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  <c r="L720" t="str">
        <f>VLOOKUP(D720,Products!$A:$F,3,FALSE)</f>
        <v>Sports</v>
      </c>
      <c r="M720" t="b">
        <f>VLOOKUP(D720,Products!$A:$F,6,FALSE)</f>
        <v>1</v>
      </c>
      <c r="N720">
        <f>VLOOKUP(D720,Products!$A:$F,4,FALSE)</f>
        <v>2265</v>
      </c>
      <c r="O720" t="str">
        <f>VLOOKUP(C720,Customers!$A:$F,5,FALSE)</f>
        <v>Corporate</v>
      </c>
      <c r="P720">
        <f>VLOOKUP(C720,Customers!$A:$F,3,FALSE)</f>
        <v>41</v>
      </c>
      <c r="Q720" t="str">
        <f>VLOOKUP(E720,Sales_Reps!$A:$E,3,FALSE)</f>
        <v>South</v>
      </c>
      <c r="R720" t="str">
        <f>VLOOKUP(E720,Sales_Reps!$A:$E,2,FALSE)</f>
        <v>Divya Rao</v>
      </c>
      <c r="S720">
        <f t="shared" si="11"/>
        <v>0.58133086876155271</v>
      </c>
    </row>
    <row r="721" spans="1:19" x14ac:dyDescent="0.3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  <c r="L721" t="str">
        <f>VLOOKUP(D721,Products!$A:$F,3,FALSE)</f>
        <v>Beauty</v>
      </c>
      <c r="M721" t="b">
        <f>VLOOKUP(D721,Products!$A:$F,6,FALSE)</f>
        <v>1</v>
      </c>
      <c r="N721">
        <f>VLOOKUP(D721,Products!$A:$F,4,FALSE)</f>
        <v>1728</v>
      </c>
      <c r="O721" t="str">
        <f>VLOOKUP(C721,Customers!$A:$F,5,FALSE)</f>
        <v>SMB</v>
      </c>
      <c r="P721">
        <f>VLOOKUP(C721,Customers!$A:$F,3,FALSE)</f>
        <v>65</v>
      </c>
      <c r="Q721" t="str">
        <f>VLOOKUP(E721,Sales_Reps!$A:$E,3,FALSE)</f>
        <v>East</v>
      </c>
      <c r="R721" t="str">
        <f>VLOOKUP(E721,Sales_Reps!$A:$E,2,FALSE)</f>
        <v>Prakash Shah</v>
      </c>
      <c r="S721">
        <f t="shared" si="11"/>
        <v>0.48417910447761192</v>
      </c>
    </row>
    <row r="722" spans="1:19" x14ac:dyDescent="0.3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  <c r="L722" t="str">
        <f>VLOOKUP(D722,Products!$A:$F,3,FALSE)</f>
        <v>Apparel</v>
      </c>
      <c r="M722" t="b">
        <f>VLOOKUP(D722,Products!$A:$F,6,FALSE)</f>
        <v>1</v>
      </c>
      <c r="N722">
        <f>VLOOKUP(D722,Products!$A:$F,4,FALSE)</f>
        <v>1962</v>
      </c>
      <c r="O722" t="str">
        <f>VLOOKUP(C722,Customers!$A:$F,5,FALSE)</f>
        <v>Retail</v>
      </c>
      <c r="P722">
        <f>VLOOKUP(C722,Customers!$A:$F,3,FALSE)</f>
        <v>53</v>
      </c>
      <c r="Q722" t="str">
        <f>VLOOKUP(E722,Sales_Reps!$A:$E,3,FALSE)</f>
        <v>North</v>
      </c>
      <c r="R722" t="str">
        <f>VLOOKUP(E722,Sales_Reps!$A:$E,2,FALSE)</f>
        <v>Kavita Patel</v>
      </c>
      <c r="S722">
        <f t="shared" si="11"/>
        <v>0.2786764705882353</v>
      </c>
    </row>
    <row r="723" spans="1:19" x14ac:dyDescent="0.3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  <c r="L723" t="str">
        <f>VLOOKUP(D723,Products!$A:$F,3,FALSE)</f>
        <v>Grocery</v>
      </c>
      <c r="M723" t="b">
        <f>VLOOKUP(D723,Products!$A:$F,6,FALSE)</f>
        <v>0</v>
      </c>
      <c r="N723">
        <f>VLOOKUP(D723,Products!$A:$F,4,FALSE)</f>
        <v>2214</v>
      </c>
      <c r="O723" t="str">
        <f>VLOOKUP(C723,Customers!$A:$F,5,FALSE)</f>
        <v>Retail</v>
      </c>
      <c r="P723">
        <f>VLOOKUP(C723,Customers!$A:$F,3,FALSE)</f>
        <v>27</v>
      </c>
      <c r="Q723" t="str">
        <f>VLOOKUP(E723,Sales_Reps!$A:$E,3,FALSE)</f>
        <v>East</v>
      </c>
      <c r="R723" t="str">
        <f>VLOOKUP(E723,Sales_Reps!$A:$E,2,FALSE)</f>
        <v>Naveen Singh</v>
      </c>
      <c r="S723">
        <f t="shared" si="11"/>
        <v>0.39508196721311473</v>
      </c>
    </row>
    <row r="724" spans="1:19" x14ac:dyDescent="0.3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  <c r="L724" t="str">
        <f>VLOOKUP(D724,Products!$A:$F,3,FALSE)</f>
        <v>Electronics</v>
      </c>
      <c r="M724" t="b">
        <f>VLOOKUP(D724,Products!$A:$F,6,FALSE)</f>
        <v>1</v>
      </c>
      <c r="N724">
        <f>VLOOKUP(D724,Products!$A:$F,4,FALSE)</f>
        <v>128</v>
      </c>
      <c r="O724" t="str">
        <f>VLOOKUP(C724,Customers!$A:$F,5,FALSE)</f>
        <v>SMB</v>
      </c>
      <c r="P724">
        <f>VLOOKUP(C724,Customers!$A:$F,3,FALSE)</f>
        <v>59</v>
      </c>
      <c r="Q724" t="str">
        <f>VLOOKUP(E724,Sales_Reps!$A:$E,3,FALSE)</f>
        <v>South</v>
      </c>
      <c r="R724" t="str">
        <f>VLOOKUP(E724,Sales_Reps!$A:$E,2,FALSE)</f>
        <v>Sanjay Kapoor</v>
      </c>
      <c r="S724">
        <f t="shared" si="11"/>
        <v>0.57333333333333336</v>
      </c>
    </row>
    <row r="725" spans="1:19" x14ac:dyDescent="0.3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  <c r="L725" t="str">
        <f>VLOOKUP(D725,Products!$A:$F,3,FALSE)</f>
        <v>Beauty</v>
      </c>
      <c r="M725" t="b">
        <f>VLOOKUP(D725,Products!$A:$F,6,FALSE)</f>
        <v>1</v>
      </c>
      <c r="N725">
        <f>VLOOKUP(D725,Products!$A:$F,4,FALSE)</f>
        <v>1219</v>
      </c>
      <c r="O725" t="str">
        <f>VLOOKUP(C725,Customers!$A:$F,5,FALSE)</f>
        <v>Corporate</v>
      </c>
      <c r="P725">
        <f>VLOOKUP(C725,Customers!$A:$F,3,FALSE)</f>
        <v>52</v>
      </c>
      <c r="Q725" t="str">
        <f>VLOOKUP(E725,Sales_Reps!$A:$E,3,FALSE)</f>
        <v>West</v>
      </c>
      <c r="R725" t="str">
        <f>VLOOKUP(E725,Sales_Reps!$A:$E,2,FALSE)</f>
        <v>Sonia Malhotra</v>
      </c>
      <c r="S725">
        <f t="shared" si="11"/>
        <v>0.46768558951965067</v>
      </c>
    </row>
    <row r="726" spans="1:19" x14ac:dyDescent="0.3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  <c r="L726" t="str">
        <f>VLOOKUP(D726,Products!$A:$F,3,FALSE)</f>
        <v>Beauty</v>
      </c>
      <c r="M726" t="b">
        <f>VLOOKUP(D726,Products!$A:$F,6,FALSE)</f>
        <v>1</v>
      </c>
      <c r="N726">
        <f>VLOOKUP(D726,Products!$A:$F,4,FALSE)</f>
        <v>2768</v>
      </c>
      <c r="O726" t="str">
        <f>VLOOKUP(C726,Customers!$A:$F,5,FALSE)</f>
        <v>Corporate</v>
      </c>
      <c r="P726">
        <f>VLOOKUP(C726,Customers!$A:$F,3,FALSE)</f>
        <v>52</v>
      </c>
      <c r="Q726" t="str">
        <f>VLOOKUP(E726,Sales_Reps!$A:$E,3,FALSE)</f>
        <v>South</v>
      </c>
      <c r="R726" t="str">
        <f>VLOOKUP(E726,Sales_Reps!$A:$E,2,FALSE)</f>
        <v>Ritu Menon</v>
      </c>
      <c r="S726">
        <f t="shared" si="11"/>
        <v>0.43278688524590164</v>
      </c>
    </row>
    <row r="727" spans="1:19" x14ac:dyDescent="0.3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  <c r="L727" t="str">
        <f>VLOOKUP(D727,Products!$A:$F,3,FALSE)</f>
        <v>Electronics</v>
      </c>
      <c r="M727" t="b">
        <f>VLOOKUP(D727,Products!$A:$F,6,FALSE)</f>
        <v>1</v>
      </c>
      <c r="N727">
        <f>VLOOKUP(D727,Products!$A:$F,4,FALSE)</f>
        <v>128</v>
      </c>
      <c r="O727" t="str">
        <f>VLOOKUP(C727,Customers!$A:$F,5,FALSE)</f>
        <v>Retail</v>
      </c>
      <c r="P727">
        <f>VLOOKUP(C727,Customers!$A:$F,3,FALSE)</f>
        <v>36</v>
      </c>
      <c r="Q727" t="str">
        <f>VLOOKUP(E727,Sales_Reps!$A:$E,3,FALSE)</f>
        <v>North</v>
      </c>
      <c r="R727" t="str">
        <f>VLOOKUP(E727,Sales_Reps!$A:$E,2,FALSE)</f>
        <v>Suresh Menon</v>
      </c>
      <c r="S727">
        <f t="shared" si="11"/>
        <v>0.57333333333333336</v>
      </c>
    </row>
    <row r="728" spans="1:19" x14ac:dyDescent="0.3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  <c r="L728" t="str">
        <f>VLOOKUP(D728,Products!$A:$F,3,FALSE)</f>
        <v>Electronics</v>
      </c>
      <c r="M728" t="b">
        <f>VLOOKUP(D728,Products!$A:$F,6,FALSE)</f>
        <v>0</v>
      </c>
      <c r="N728">
        <f>VLOOKUP(D728,Products!$A:$F,4,FALSE)</f>
        <v>1259</v>
      </c>
      <c r="O728" t="str">
        <f>VLOOKUP(C728,Customers!$A:$F,5,FALSE)</f>
        <v>SMB</v>
      </c>
      <c r="P728">
        <f>VLOOKUP(C728,Customers!$A:$F,3,FALSE)</f>
        <v>25</v>
      </c>
      <c r="Q728" t="str">
        <f>VLOOKUP(E728,Sales_Reps!$A:$E,3,FALSE)</f>
        <v>West</v>
      </c>
      <c r="R728" t="str">
        <f>VLOOKUP(E728,Sales_Reps!$A:$E,2,FALSE)</f>
        <v>Kiran Bhatt</v>
      </c>
      <c r="S728">
        <f t="shared" si="11"/>
        <v>0.52669172932330832</v>
      </c>
    </row>
    <row r="729" spans="1:19" x14ac:dyDescent="0.3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  <c r="L729" t="str">
        <f>VLOOKUP(D729,Products!$A:$F,3,FALSE)</f>
        <v>Home</v>
      </c>
      <c r="M729" t="b">
        <f>VLOOKUP(D729,Products!$A:$F,6,FALSE)</f>
        <v>1</v>
      </c>
      <c r="N729">
        <f>VLOOKUP(D729,Products!$A:$F,4,FALSE)</f>
        <v>464</v>
      </c>
      <c r="O729" t="str">
        <f>VLOOKUP(C729,Customers!$A:$F,5,FALSE)</f>
        <v>Retail</v>
      </c>
      <c r="P729">
        <f>VLOOKUP(C729,Customers!$A:$F,3,FALSE)</f>
        <v>52</v>
      </c>
      <c r="Q729" t="str">
        <f>VLOOKUP(E729,Sales_Reps!$A:$E,3,FALSE)</f>
        <v>West</v>
      </c>
      <c r="R729" t="str">
        <f>VLOOKUP(E729,Sales_Reps!$A:$E,2,FALSE)</f>
        <v>Rekha Chopra</v>
      </c>
      <c r="S729">
        <f t="shared" si="11"/>
        <v>0.57431192660550456</v>
      </c>
    </row>
    <row r="730" spans="1:19" x14ac:dyDescent="0.3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  <c r="L730" t="str">
        <f>VLOOKUP(D730,Products!$A:$F,3,FALSE)</f>
        <v>Electronics</v>
      </c>
      <c r="M730" t="b">
        <f>VLOOKUP(D730,Products!$A:$F,6,FALSE)</f>
        <v>1</v>
      </c>
      <c r="N730">
        <f>VLOOKUP(D730,Products!$A:$F,4,FALSE)</f>
        <v>861</v>
      </c>
      <c r="O730" t="str">
        <f>VLOOKUP(C730,Customers!$A:$F,5,FALSE)</f>
        <v>Corporate</v>
      </c>
      <c r="P730">
        <f>VLOOKUP(C730,Customers!$A:$F,3,FALSE)</f>
        <v>29</v>
      </c>
      <c r="Q730" t="str">
        <f>VLOOKUP(E730,Sales_Reps!$A:$E,3,FALSE)</f>
        <v>South</v>
      </c>
      <c r="R730" t="str">
        <f>VLOOKUP(E730,Sales_Reps!$A:$E,2,FALSE)</f>
        <v>Pooja Nair</v>
      </c>
      <c r="S730">
        <f t="shared" si="11"/>
        <v>0.39790209790209791</v>
      </c>
    </row>
    <row r="731" spans="1:19" x14ac:dyDescent="0.3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  <c r="L731" t="str">
        <f>VLOOKUP(D731,Products!$A:$F,3,FALSE)</f>
        <v>Electronics</v>
      </c>
      <c r="M731" t="b">
        <f>VLOOKUP(D731,Products!$A:$F,6,FALSE)</f>
        <v>1</v>
      </c>
      <c r="N731">
        <f>VLOOKUP(D731,Products!$A:$F,4,FALSE)</f>
        <v>1149</v>
      </c>
      <c r="O731" t="str">
        <f>VLOOKUP(C731,Customers!$A:$F,5,FALSE)</f>
        <v>Retail</v>
      </c>
      <c r="P731">
        <f>VLOOKUP(C731,Customers!$A:$F,3,FALSE)</f>
        <v>37</v>
      </c>
      <c r="Q731" t="str">
        <f>VLOOKUP(E731,Sales_Reps!$A:$E,3,FALSE)</f>
        <v>North</v>
      </c>
      <c r="R731" t="str">
        <f>VLOOKUP(E731,Sales_Reps!$A:$E,2,FALSE)</f>
        <v>Vikram Patel</v>
      </c>
      <c r="S731">
        <f t="shared" si="11"/>
        <v>0.56477272727272732</v>
      </c>
    </row>
    <row r="732" spans="1:19" x14ac:dyDescent="0.3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  <c r="L732" t="str">
        <f>VLOOKUP(D732,Products!$A:$F,3,FALSE)</f>
        <v>Apparel</v>
      </c>
      <c r="M732" t="b">
        <f>VLOOKUP(D732,Products!$A:$F,6,FALSE)</f>
        <v>1</v>
      </c>
      <c r="N732">
        <f>VLOOKUP(D732,Products!$A:$F,4,FALSE)</f>
        <v>1962</v>
      </c>
      <c r="O732" t="str">
        <f>VLOOKUP(C732,Customers!$A:$F,5,FALSE)</f>
        <v>Corporate</v>
      </c>
      <c r="P732">
        <f>VLOOKUP(C732,Customers!$A:$F,3,FALSE)</f>
        <v>52</v>
      </c>
      <c r="Q732" t="str">
        <f>VLOOKUP(E732,Sales_Reps!$A:$E,3,FALSE)</f>
        <v>North</v>
      </c>
      <c r="R732" t="str">
        <f>VLOOKUP(E732,Sales_Reps!$A:$E,2,FALSE)</f>
        <v>Rajesh Malhotra</v>
      </c>
      <c r="S732">
        <f t="shared" si="11"/>
        <v>0.2786764705882353</v>
      </c>
    </row>
    <row r="733" spans="1:19" x14ac:dyDescent="0.3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  <c r="L733" t="str">
        <f>VLOOKUP(D733,Products!$A:$F,3,FALSE)</f>
        <v>Apparel</v>
      </c>
      <c r="M733" t="b">
        <f>VLOOKUP(D733,Products!$A:$F,6,FALSE)</f>
        <v>1</v>
      </c>
      <c r="N733">
        <f>VLOOKUP(D733,Products!$A:$F,4,FALSE)</f>
        <v>2611</v>
      </c>
      <c r="O733" t="str">
        <f>VLOOKUP(C733,Customers!$A:$F,5,FALSE)</f>
        <v>Corporate</v>
      </c>
      <c r="P733">
        <f>VLOOKUP(C733,Customers!$A:$F,3,FALSE)</f>
        <v>52</v>
      </c>
      <c r="Q733" t="str">
        <f>VLOOKUP(E733,Sales_Reps!$A:$E,3,FALSE)</f>
        <v>South</v>
      </c>
      <c r="R733" t="str">
        <f>VLOOKUP(E733,Sales_Reps!$A:$E,2,FALSE)</f>
        <v>Anjali Chopra</v>
      </c>
      <c r="S733">
        <f t="shared" si="11"/>
        <v>0.28269230769230769</v>
      </c>
    </row>
    <row r="734" spans="1:19" x14ac:dyDescent="0.3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  <c r="L734" t="str">
        <f>VLOOKUP(D734,Products!$A:$F,3,FALSE)</f>
        <v>Beauty</v>
      </c>
      <c r="M734" t="b">
        <f>VLOOKUP(D734,Products!$A:$F,6,FALSE)</f>
        <v>1</v>
      </c>
      <c r="N734">
        <f>VLOOKUP(D734,Products!$A:$F,4,FALSE)</f>
        <v>2617</v>
      </c>
      <c r="O734" t="e">
        <f>VLOOKUP(C734,Customers!$A:$F,5,FALSE)</f>
        <v>#N/A</v>
      </c>
      <c r="P734" t="e">
        <f>VLOOKUP(C734,Customers!$A:$F,3,FALSE)</f>
        <v>#N/A</v>
      </c>
      <c r="Q734" t="str">
        <f>VLOOKUP(E734,Sales_Reps!$A:$E,3,FALSE)</f>
        <v>East</v>
      </c>
      <c r="R734" t="str">
        <f>VLOOKUP(E734,Sales_Reps!$A:$E,2,FALSE)</f>
        <v>Gaurav Desai</v>
      </c>
      <c r="S734">
        <f t="shared" si="11"/>
        <v>0.56957236842105263</v>
      </c>
    </row>
    <row r="735" spans="1:19" x14ac:dyDescent="0.3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  <c r="L735" t="str">
        <f>VLOOKUP(D735,Products!$A:$F,3,FALSE)</f>
        <v>Electronics</v>
      </c>
      <c r="M735" t="b">
        <f>VLOOKUP(D735,Products!$A:$F,6,FALSE)</f>
        <v>1</v>
      </c>
      <c r="N735">
        <f>VLOOKUP(D735,Products!$A:$F,4,FALSE)</f>
        <v>2405</v>
      </c>
      <c r="O735" t="str">
        <f>VLOOKUP(C735,Customers!$A:$F,5,FALSE)</f>
        <v>Corporate</v>
      </c>
      <c r="P735">
        <f>VLOOKUP(C735,Customers!$A:$F,3,FALSE)</f>
        <v>41</v>
      </c>
      <c r="Q735" t="str">
        <f>VLOOKUP(E735,Sales_Reps!$A:$E,3,FALSE)</f>
        <v>South</v>
      </c>
      <c r="R735" t="str">
        <f>VLOOKUP(E735,Sales_Reps!$A:$E,2,FALSE)</f>
        <v>Deepak Shah</v>
      </c>
      <c r="S735">
        <f t="shared" si="11"/>
        <v>0.54878048780487809</v>
      </c>
    </row>
    <row r="736" spans="1:19" x14ac:dyDescent="0.3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  <c r="L736" t="str">
        <f>VLOOKUP(D736,Products!$A:$F,3,FALSE)</f>
        <v>Home</v>
      </c>
      <c r="M736" t="b">
        <f>VLOOKUP(D736,Products!$A:$F,6,FALSE)</f>
        <v>1</v>
      </c>
      <c r="N736">
        <f>VLOOKUP(D736,Products!$A:$F,4,FALSE)</f>
        <v>1850</v>
      </c>
      <c r="O736" t="str">
        <f>VLOOKUP(C736,Customers!$A:$F,5,FALSE)</f>
        <v>Retail</v>
      </c>
      <c r="P736">
        <f>VLOOKUP(C736,Customers!$A:$F,3,FALSE)</f>
        <v>61</v>
      </c>
      <c r="Q736" t="str">
        <f>VLOOKUP(E736,Sales_Reps!$A:$E,3,FALSE)</f>
        <v>West</v>
      </c>
      <c r="R736" t="str">
        <f>VLOOKUP(E736,Sales_Reps!$A:$E,2,FALSE)</f>
        <v>Rekha Chopra</v>
      </c>
      <c r="S736">
        <f t="shared" si="11"/>
        <v>0.59869848156182215</v>
      </c>
    </row>
    <row r="737" spans="1:19" x14ac:dyDescent="0.3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  <c r="L737" t="str">
        <f>VLOOKUP(D737,Products!$A:$F,3,FALSE)</f>
        <v>Electronics</v>
      </c>
      <c r="M737" t="b">
        <f>VLOOKUP(D737,Products!$A:$F,6,FALSE)</f>
        <v>1</v>
      </c>
      <c r="N737">
        <f>VLOOKUP(D737,Products!$A:$F,4,FALSE)</f>
        <v>2405</v>
      </c>
      <c r="O737" t="str">
        <f>VLOOKUP(C737,Customers!$A:$F,5,FALSE)</f>
        <v>Retail</v>
      </c>
      <c r="P737">
        <f>VLOOKUP(C737,Customers!$A:$F,3,FALSE)</f>
        <v>36</v>
      </c>
      <c r="Q737" t="str">
        <f>VLOOKUP(E737,Sales_Reps!$A:$E,3,FALSE)</f>
        <v>West</v>
      </c>
      <c r="R737" t="str">
        <f>VLOOKUP(E737,Sales_Reps!$A:$E,2,FALSE)</f>
        <v>Kiran Bhatt</v>
      </c>
      <c r="S737">
        <f t="shared" si="11"/>
        <v>0.54878048780487809</v>
      </c>
    </row>
    <row r="738" spans="1:19" x14ac:dyDescent="0.3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  <c r="L738" t="str">
        <f>VLOOKUP(D738,Products!$A:$F,3,FALSE)</f>
        <v>Beauty</v>
      </c>
      <c r="M738" t="b">
        <f>VLOOKUP(D738,Products!$A:$F,6,FALSE)</f>
        <v>1</v>
      </c>
      <c r="N738">
        <f>VLOOKUP(D738,Products!$A:$F,4,FALSE)</f>
        <v>2617</v>
      </c>
      <c r="O738" t="str">
        <f>VLOOKUP(C738,Customers!$A:$F,5,FALSE)</f>
        <v>Retail</v>
      </c>
      <c r="P738">
        <f>VLOOKUP(C738,Customers!$A:$F,3,FALSE)</f>
        <v>49</v>
      </c>
      <c r="Q738" t="str">
        <f>VLOOKUP(E738,Sales_Reps!$A:$E,3,FALSE)</f>
        <v>East</v>
      </c>
      <c r="R738" t="str">
        <f>VLOOKUP(E738,Sales_Reps!$A:$E,2,FALSE)</f>
        <v>Shalini Patel</v>
      </c>
      <c r="S738">
        <f t="shared" si="11"/>
        <v>0.56957236842105263</v>
      </c>
    </row>
    <row r="739" spans="1:19" x14ac:dyDescent="0.3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  <c r="L739" t="str">
        <f>VLOOKUP(D739,Products!$A:$F,3,FALSE)</f>
        <v>Apparel</v>
      </c>
      <c r="M739" t="b">
        <f>VLOOKUP(D739,Products!$A:$F,6,FALSE)</f>
        <v>1</v>
      </c>
      <c r="N739">
        <f>VLOOKUP(D739,Products!$A:$F,4,FALSE)</f>
        <v>2611</v>
      </c>
      <c r="O739" t="str">
        <f>VLOOKUP(C739,Customers!$A:$F,5,FALSE)</f>
        <v>Corporate</v>
      </c>
      <c r="P739">
        <f>VLOOKUP(C739,Customers!$A:$F,3,FALSE)</f>
        <v>51</v>
      </c>
      <c r="Q739" t="str">
        <f>VLOOKUP(E739,Sales_Reps!$A:$E,3,FALSE)</f>
        <v>East</v>
      </c>
      <c r="R739" t="str">
        <f>VLOOKUP(E739,Sales_Reps!$A:$E,2,FALSE)</f>
        <v>Naveen Singh</v>
      </c>
      <c r="S739">
        <f t="shared" si="11"/>
        <v>0.28269230769230769</v>
      </c>
    </row>
    <row r="740" spans="1:19" x14ac:dyDescent="0.3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  <c r="L740" t="str">
        <f>VLOOKUP(D740,Products!$A:$F,3,FALSE)</f>
        <v>Electronics</v>
      </c>
      <c r="M740" t="b">
        <f>VLOOKUP(D740,Products!$A:$F,6,FALSE)</f>
        <v>0</v>
      </c>
      <c r="N740">
        <f>VLOOKUP(D740,Products!$A:$F,4,FALSE)</f>
        <v>1259</v>
      </c>
      <c r="O740" t="str">
        <f>VLOOKUP(C740,Customers!$A:$F,5,FALSE)</f>
        <v>Corporate</v>
      </c>
      <c r="P740">
        <f>VLOOKUP(C740,Customers!$A:$F,3,FALSE)</f>
        <v>35</v>
      </c>
      <c r="Q740" t="str">
        <f>VLOOKUP(E740,Sales_Reps!$A:$E,3,FALSE)</f>
        <v>South</v>
      </c>
      <c r="R740" t="str">
        <f>VLOOKUP(E740,Sales_Reps!$A:$E,2,FALSE)</f>
        <v>Sanjay Kapoor</v>
      </c>
      <c r="S740">
        <f t="shared" si="11"/>
        <v>0.52669172932330832</v>
      </c>
    </row>
    <row r="741" spans="1:19" x14ac:dyDescent="0.3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  <c r="L741" t="str">
        <f>VLOOKUP(D741,Products!$A:$F,3,FALSE)</f>
        <v>Beauty</v>
      </c>
      <c r="M741" t="b">
        <f>VLOOKUP(D741,Products!$A:$F,6,FALSE)</f>
        <v>1</v>
      </c>
      <c r="N741">
        <f>VLOOKUP(D741,Products!$A:$F,4,FALSE)</f>
        <v>1728</v>
      </c>
      <c r="O741" t="str">
        <f>VLOOKUP(C741,Customers!$A:$F,5,FALSE)</f>
        <v>SMB</v>
      </c>
      <c r="P741">
        <f>VLOOKUP(C741,Customers!$A:$F,3,FALSE)</f>
        <v>29</v>
      </c>
      <c r="Q741" t="str">
        <f>VLOOKUP(E741,Sales_Reps!$A:$E,3,FALSE)</f>
        <v>South</v>
      </c>
      <c r="R741" t="str">
        <f>VLOOKUP(E741,Sales_Reps!$A:$E,2,FALSE)</f>
        <v>Deepak Shah</v>
      </c>
      <c r="S741">
        <f t="shared" si="11"/>
        <v>0.48417910447761192</v>
      </c>
    </row>
    <row r="742" spans="1:19" x14ac:dyDescent="0.3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  <c r="L742" t="str">
        <f>VLOOKUP(D742,Products!$A:$F,3,FALSE)</f>
        <v>Home</v>
      </c>
      <c r="M742" t="b">
        <f>VLOOKUP(D742,Products!$A:$F,6,FALSE)</f>
        <v>1</v>
      </c>
      <c r="N742">
        <f>VLOOKUP(D742,Products!$A:$F,4,FALSE)</f>
        <v>1850</v>
      </c>
      <c r="O742" t="str">
        <f>VLOOKUP(C742,Customers!$A:$F,5,FALSE)</f>
        <v>SMB</v>
      </c>
      <c r="P742">
        <f>VLOOKUP(C742,Customers!$A:$F,3,FALSE)</f>
        <v>44</v>
      </c>
      <c r="Q742" t="str">
        <f>VLOOKUP(E742,Sales_Reps!$A:$E,3,FALSE)</f>
        <v>East</v>
      </c>
      <c r="R742" t="str">
        <f>VLOOKUP(E742,Sales_Reps!$A:$E,2,FALSE)</f>
        <v>Prakash Shah</v>
      </c>
      <c r="S742">
        <f t="shared" si="11"/>
        <v>0.59869848156182215</v>
      </c>
    </row>
    <row r="743" spans="1:19" x14ac:dyDescent="0.3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  <c r="L743" t="str">
        <f>VLOOKUP(D743,Products!$A:$F,3,FALSE)</f>
        <v>Sports</v>
      </c>
      <c r="M743" t="b">
        <f>VLOOKUP(D743,Products!$A:$F,6,FALSE)</f>
        <v>1</v>
      </c>
      <c r="N743">
        <f>VLOOKUP(D743,Products!$A:$F,4,FALSE)</f>
        <v>2028</v>
      </c>
      <c r="O743" t="str">
        <f>VLOOKUP(C743,Customers!$A:$F,5,FALSE)</f>
        <v>Corporate</v>
      </c>
      <c r="P743">
        <f>VLOOKUP(C743,Customers!$A:$F,3,FALSE)</f>
        <v>40</v>
      </c>
      <c r="Q743" t="str">
        <f>VLOOKUP(E743,Sales_Reps!$A:$E,3,FALSE)</f>
        <v>South</v>
      </c>
      <c r="R743" t="str">
        <f>VLOOKUP(E743,Sales_Reps!$A:$E,2,FALSE)</f>
        <v>Ritu Menon</v>
      </c>
      <c r="S743">
        <f t="shared" si="11"/>
        <v>0.29090909090909089</v>
      </c>
    </row>
    <row r="744" spans="1:19" x14ac:dyDescent="0.3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  <c r="L744" t="str">
        <f>VLOOKUP(D744,Products!$A:$F,3,FALSE)</f>
        <v>Beauty</v>
      </c>
      <c r="M744" t="b">
        <f>VLOOKUP(D744,Products!$A:$F,6,FALSE)</f>
        <v>1</v>
      </c>
      <c r="N744">
        <f>VLOOKUP(D744,Products!$A:$F,4,FALSE)</f>
        <v>1728</v>
      </c>
      <c r="O744" t="str">
        <f>VLOOKUP(C744,Customers!$A:$F,5,FALSE)</f>
        <v>Retail</v>
      </c>
      <c r="P744">
        <f>VLOOKUP(C744,Customers!$A:$F,3,FALSE)</f>
        <v>36</v>
      </c>
      <c r="Q744" t="str">
        <f>VLOOKUP(E744,Sales_Reps!$A:$E,3,FALSE)</f>
        <v>South</v>
      </c>
      <c r="R744" t="str">
        <f>VLOOKUP(E744,Sales_Reps!$A:$E,2,FALSE)</f>
        <v>Sanjay Kapoor</v>
      </c>
      <c r="S744">
        <f t="shared" si="11"/>
        <v>0.48417910447761192</v>
      </c>
    </row>
    <row r="745" spans="1:19" x14ac:dyDescent="0.3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  <c r="L745" t="str">
        <f>VLOOKUP(D745,Products!$A:$F,3,FALSE)</f>
        <v>Grocery</v>
      </c>
      <c r="M745" t="b">
        <f>VLOOKUP(D745,Products!$A:$F,6,FALSE)</f>
        <v>1</v>
      </c>
      <c r="N745">
        <f>VLOOKUP(D745,Products!$A:$F,4,FALSE)</f>
        <v>1010</v>
      </c>
      <c r="O745" t="str">
        <f>VLOOKUP(C745,Customers!$A:$F,5,FALSE)</f>
        <v>Retail</v>
      </c>
      <c r="P745">
        <f>VLOOKUP(C745,Customers!$A:$F,3,FALSE)</f>
        <v>28</v>
      </c>
      <c r="Q745" t="str">
        <f>VLOOKUP(E745,Sales_Reps!$A:$E,3,FALSE)</f>
        <v>West</v>
      </c>
      <c r="R745" t="str">
        <f>VLOOKUP(E745,Sales_Reps!$A:$E,2,FALSE)</f>
        <v>Preeti Shah</v>
      </c>
      <c r="S745">
        <f t="shared" si="11"/>
        <v>0.54298642533936647</v>
      </c>
    </row>
    <row r="746" spans="1:19" x14ac:dyDescent="0.3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  <c r="L746" t="str">
        <f>VLOOKUP(D746,Products!$A:$F,3,FALSE)</f>
        <v>Beauty</v>
      </c>
      <c r="M746" t="b">
        <f>VLOOKUP(D746,Products!$A:$F,6,FALSE)</f>
        <v>1</v>
      </c>
      <c r="N746">
        <f>VLOOKUP(D746,Products!$A:$F,4,FALSE)</f>
        <v>2420</v>
      </c>
      <c r="O746" t="str">
        <f>VLOOKUP(C746,Customers!$A:$F,5,FALSE)</f>
        <v>Corporate</v>
      </c>
      <c r="P746">
        <f>VLOOKUP(C746,Customers!$A:$F,3,FALSE)</f>
        <v>37</v>
      </c>
      <c r="Q746" t="str">
        <f>VLOOKUP(E746,Sales_Reps!$A:$E,3,FALSE)</f>
        <v>South</v>
      </c>
      <c r="R746" t="str">
        <f>VLOOKUP(E746,Sales_Reps!$A:$E,2,FALSE)</f>
        <v>Sanjay Kapoor</v>
      </c>
      <c r="S746">
        <f t="shared" si="11"/>
        <v>0.29855072463768118</v>
      </c>
    </row>
    <row r="747" spans="1:19" x14ac:dyDescent="0.3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  <c r="L747" t="str">
        <f>VLOOKUP(D747,Products!$A:$F,3,FALSE)</f>
        <v>Beauty</v>
      </c>
      <c r="M747" t="b">
        <f>VLOOKUP(D747,Products!$A:$F,6,FALSE)</f>
        <v>1</v>
      </c>
      <c r="N747">
        <f>VLOOKUP(D747,Products!$A:$F,4,FALSE)</f>
        <v>2237</v>
      </c>
      <c r="O747" t="str">
        <f>VLOOKUP(C747,Customers!$A:$F,5,FALSE)</f>
        <v>Retail</v>
      </c>
      <c r="P747">
        <f>VLOOKUP(C747,Customers!$A:$F,3,FALSE)</f>
        <v>38</v>
      </c>
      <c r="Q747" t="str">
        <f>VLOOKUP(E747,Sales_Reps!$A:$E,3,FALSE)</f>
        <v>West</v>
      </c>
      <c r="R747" t="str">
        <f>VLOOKUP(E747,Sales_Reps!$A:$E,2,FALSE)</f>
        <v>Preeti Shah</v>
      </c>
      <c r="S747">
        <f t="shared" si="11"/>
        <v>0.56137254901960787</v>
      </c>
    </row>
    <row r="748" spans="1:19" x14ac:dyDescent="0.3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  <c r="L748" t="str">
        <f>VLOOKUP(D748,Products!$A:$F,3,FALSE)</f>
        <v>Beauty</v>
      </c>
      <c r="M748" t="b">
        <f>VLOOKUP(D748,Products!$A:$F,6,FALSE)</f>
        <v>1</v>
      </c>
      <c r="N748">
        <f>VLOOKUP(D748,Products!$A:$F,4,FALSE)</f>
        <v>2237</v>
      </c>
      <c r="O748" t="str">
        <f>VLOOKUP(C748,Customers!$A:$F,5,FALSE)</f>
        <v>Retail</v>
      </c>
      <c r="P748">
        <f>VLOOKUP(C748,Customers!$A:$F,3,FALSE)</f>
        <v>29</v>
      </c>
      <c r="Q748" t="str">
        <f>VLOOKUP(E748,Sales_Reps!$A:$E,3,FALSE)</f>
        <v>North</v>
      </c>
      <c r="R748" t="str">
        <f>VLOOKUP(E748,Sales_Reps!$A:$E,2,FALSE)</f>
        <v>Amit Singh</v>
      </c>
      <c r="S748">
        <f t="shared" si="11"/>
        <v>0.56137254901960787</v>
      </c>
    </row>
    <row r="749" spans="1:19" x14ac:dyDescent="0.3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  <c r="L749" t="str">
        <f>VLOOKUP(D749,Products!$A:$F,3,FALSE)</f>
        <v>Home</v>
      </c>
      <c r="M749" t="b">
        <f>VLOOKUP(D749,Products!$A:$F,6,FALSE)</f>
        <v>1</v>
      </c>
      <c r="N749">
        <f>VLOOKUP(D749,Products!$A:$F,4,FALSE)</f>
        <v>329</v>
      </c>
      <c r="O749" t="str">
        <f>VLOOKUP(C749,Customers!$A:$F,5,FALSE)</f>
        <v>Retail</v>
      </c>
      <c r="P749">
        <f>VLOOKUP(C749,Customers!$A:$F,3,FALSE)</f>
        <v>41</v>
      </c>
      <c r="Q749" t="str">
        <f>VLOOKUP(E749,Sales_Reps!$A:$E,3,FALSE)</f>
        <v>North</v>
      </c>
      <c r="R749" t="str">
        <f>VLOOKUP(E749,Sales_Reps!$A:$E,2,FALSE)</f>
        <v>Neha Desai</v>
      </c>
      <c r="S749">
        <f t="shared" si="11"/>
        <v>0.50151515151515147</v>
      </c>
    </row>
    <row r="750" spans="1:19" x14ac:dyDescent="0.3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  <c r="L750" t="str">
        <f>VLOOKUP(D750,Products!$A:$F,3,FALSE)</f>
        <v>Grocery</v>
      </c>
      <c r="M750" t="b">
        <f>VLOOKUP(D750,Products!$A:$F,6,FALSE)</f>
        <v>1</v>
      </c>
      <c r="N750">
        <f>VLOOKUP(D750,Products!$A:$F,4,FALSE)</f>
        <v>2027</v>
      </c>
      <c r="O750" t="str">
        <f>VLOOKUP(C750,Customers!$A:$F,5,FALSE)</f>
        <v>Retail</v>
      </c>
      <c r="P750">
        <f>VLOOKUP(C750,Customers!$A:$F,3,FALSE)</f>
        <v>44</v>
      </c>
      <c r="Q750" t="str">
        <f>VLOOKUP(E750,Sales_Reps!$A:$E,3,FALSE)</f>
        <v>North</v>
      </c>
      <c r="R750" t="str">
        <f>VLOOKUP(E750,Sales_Reps!$A:$E,2,FALSE)</f>
        <v>Neha Desai</v>
      </c>
      <c r="S750">
        <f t="shared" si="11"/>
        <v>0.50196560196560192</v>
      </c>
    </row>
    <row r="751" spans="1:19" x14ac:dyDescent="0.3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  <c r="L751" t="str">
        <f>VLOOKUP(D751,Products!$A:$F,3,FALSE)</f>
        <v>Apparel</v>
      </c>
      <c r="M751" t="b">
        <f>VLOOKUP(D751,Products!$A:$F,6,FALSE)</f>
        <v>0</v>
      </c>
      <c r="N751">
        <f>VLOOKUP(D751,Products!$A:$F,4,FALSE)</f>
        <v>1075</v>
      </c>
      <c r="O751" t="str">
        <f>VLOOKUP(C751,Customers!$A:$F,5,FALSE)</f>
        <v>SMB</v>
      </c>
      <c r="P751">
        <f>VLOOKUP(C751,Customers!$A:$F,3,FALSE)</f>
        <v>22</v>
      </c>
      <c r="Q751" t="str">
        <f>VLOOKUP(E751,Sales_Reps!$A:$E,3,FALSE)</f>
        <v>North</v>
      </c>
      <c r="R751" t="str">
        <f>VLOOKUP(E751,Sales_Reps!$A:$E,2,FALSE)</f>
        <v>Suresh Menon</v>
      </c>
      <c r="S751">
        <f t="shared" si="11"/>
        <v>0.57171314741035861</v>
      </c>
    </row>
    <row r="752" spans="1:19" x14ac:dyDescent="0.3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  <c r="L752" t="str">
        <f>VLOOKUP(D752,Products!$A:$F,3,FALSE)</f>
        <v>Home</v>
      </c>
      <c r="M752" t="b">
        <f>VLOOKUP(D752,Products!$A:$F,6,FALSE)</f>
        <v>1</v>
      </c>
      <c r="N752">
        <f>VLOOKUP(D752,Products!$A:$F,4,FALSE)</f>
        <v>1556</v>
      </c>
      <c r="O752" t="str">
        <f>VLOOKUP(C752,Customers!$A:$F,5,FALSE)</f>
        <v>SMB</v>
      </c>
      <c r="P752">
        <f>VLOOKUP(C752,Customers!$A:$F,3,FALSE)</f>
        <v>29</v>
      </c>
      <c r="Q752" t="str">
        <f>VLOOKUP(E752,Sales_Reps!$A:$E,3,FALSE)</f>
        <v>West</v>
      </c>
      <c r="R752" t="str">
        <f>VLOOKUP(E752,Sales_Reps!$A:$E,2,FALSE)</f>
        <v>Kiran Bhatt</v>
      </c>
      <c r="S752">
        <f t="shared" si="11"/>
        <v>0.52123076923076928</v>
      </c>
    </row>
    <row r="753" spans="1:19" x14ac:dyDescent="0.3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  <c r="L753" t="str">
        <f>VLOOKUP(D753,Products!$A:$F,3,FALSE)</f>
        <v>Home</v>
      </c>
      <c r="M753" t="b">
        <f>VLOOKUP(D753,Products!$A:$F,6,FALSE)</f>
        <v>1</v>
      </c>
      <c r="N753">
        <f>VLOOKUP(D753,Products!$A:$F,4,FALSE)</f>
        <v>288</v>
      </c>
      <c r="O753" t="str">
        <f>VLOOKUP(C753,Customers!$A:$F,5,FALSE)</f>
        <v>Corporate</v>
      </c>
      <c r="P753">
        <f>VLOOKUP(C753,Customers!$A:$F,3,FALSE)</f>
        <v>26</v>
      </c>
      <c r="Q753" t="str">
        <f>VLOOKUP(E753,Sales_Reps!$A:$E,3,FALSE)</f>
        <v>North</v>
      </c>
      <c r="R753" t="str">
        <f>VLOOKUP(E753,Sales_Reps!$A:$E,2,FALSE)</f>
        <v>Vikram Patel</v>
      </c>
      <c r="S753">
        <f t="shared" si="11"/>
        <v>0.22162162162162163</v>
      </c>
    </row>
    <row r="754" spans="1:19" x14ac:dyDescent="0.3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  <c r="L754" t="str">
        <f>VLOOKUP(D754,Products!$A:$F,3,FALSE)</f>
        <v>Apparel</v>
      </c>
      <c r="M754" t="b">
        <f>VLOOKUP(D754,Products!$A:$F,6,FALSE)</f>
        <v>1</v>
      </c>
      <c r="N754">
        <f>VLOOKUP(D754,Products!$A:$F,4,FALSE)</f>
        <v>391</v>
      </c>
      <c r="O754" t="str">
        <f>VLOOKUP(C754,Customers!$A:$F,5,FALSE)</f>
        <v>Corporate</v>
      </c>
      <c r="P754">
        <f>VLOOKUP(C754,Customers!$A:$F,3,FALSE)</f>
        <v>29</v>
      </c>
      <c r="Q754" t="str">
        <f>VLOOKUP(E754,Sales_Reps!$A:$E,3,FALSE)</f>
        <v>North</v>
      </c>
      <c r="R754" t="str">
        <f>VLOOKUP(E754,Sales_Reps!$A:$E,2,FALSE)</f>
        <v>Neha Desai</v>
      </c>
      <c r="S754">
        <f t="shared" si="11"/>
        <v>0.52317073170731709</v>
      </c>
    </row>
    <row r="755" spans="1:19" x14ac:dyDescent="0.3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  <c r="L755" t="str">
        <f>VLOOKUP(D755,Products!$A:$F,3,FALSE)</f>
        <v>Grocery</v>
      </c>
      <c r="M755" t="b">
        <f>VLOOKUP(D755,Products!$A:$F,6,FALSE)</f>
        <v>1</v>
      </c>
      <c r="N755">
        <f>VLOOKUP(D755,Products!$A:$F,4,FALSE)</f>
        <v>2027</v>
      </c>
      <c r="O755" t="str">
        <f>VLOOKUP(C755,Customers!$A:$F,5,FALSE)</f>
        <v>Retail</v>
      </c>
      <c r="P755">
        <f>VLOOKUP(C755,Customers!$A:$F,3,FALSE)</f>
        <v>55</v>
      </c>
      <c r="Q755" t="str">
        <f>VLOOKUP(E755,Sales_Reps!$A:$E,3,FALSE)</f>
        <v>West</v>
      </c>
      <c r="R755" t="str">
        <f>VLOOKUP(E755,Sales_Reps!$A:$E,2,FALSE)</f>
        <v>Arun Iyer</v>
      </c>
      <c r="S755">
        <f t="shared" si="11"/>
        <v>0.50196560196560192</v>
      </c>
    </row>
    <row r="756" spans="1:19" x14ac:dyDescent="0.3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  <c r="L756" t="str">
        <f>VLOOKUP(D756,Products!$A:$F,3,FALSE)</f>
        <v>Grocery</v>
      </c>
      <c r="M756" t="b">
        <f>VLOOKUP(D756,Products!$A:$F,6,FALSE)</f>
        <v>1</v>
      </c>
      <c r="N756">
        <f>VLOOKUP(D756,Products!$A:$F,4,FALSE)</f>
        <v>1182</v>
      </c>
      <c r="O756" t="str">
        <f>VLOOKUP(C756,Customers!$A:$F,5,FALSE)</f>
        <v>Retail</v>
      </c>
      <c r="P756">
        <f>VLOOKUP(C756,Customers!$A:$F,3,FALSE)</f>
        <v>29</v>
      </c>
      <c r="Q756" t="str">
        <f>VLOOKUP(E756,Sales_Reps!$A:$E,3,FALSE)</f>
        <v>South</v>
      </c>
      <c r="R756" t="str">
        <f>VLOOKUP(E756,Sales_Reps!$A:$E,2,FALSE)</f>
        <v>Anil Verma</v>
      </c>
      <c r="S756">
        <f t="shared" si="11"/>
        <v>0.50336134453781511</v>
      </c>
    </row>
    <row r="757" spans="1:19" x14ac:dyDescent="0.3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  <c r="L757" t="str">
        <f>VLOOKUP(D757,Products!$A:$F,3,FALSE)</f>
        <v>Home</v>
      </c>
      <c r="M757" t="b">
        <f>VLOOKUP(D757,Products!$A:$F,6,FALSE)</f>
        <v>1</v>
      </c>
      <c r="N757">
        <f>VLOOKUP(D757,Products!$A:$F,4,FALSE)</f>
        <v>2549</v>
      </c>
      <c r="O757" t="str">
        <f>VLOOKUP(C757,Customers!$A:$F,5,FALSE)</f>
        <v>Retail</v>
      </c>
      <c r="P757">
        <f>VLOOKUP(C757,Customers!$A:$F,3,FALSE)</f>
        <v>65</v>
      </c>
      <c r="Q757" t="str">
        <f>VLOOKUP(E757,Sales_Reps!$A:$E,3,FALSE)</f>
        <v>West</v>
      </c>
      <c r="R757" t="str">
        <f>VLOOKUP(E757,Sales_Reps!$A:$E,2,FALSE)</f>
        <v>Kiran Bhatt</v>
      </c>
      <c r="S757">
        <f t="shared" si="11"/>
        <v>0.53570127504553733</v>
      </c>
    </row>
    <row r="758" spans="1:19" x14ac:dyDescent="0.3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  <c r="L758" t="str">
        <f>VLOOKUP(D758,Products!$A:$F,3,FALSE)</f>
        <v>Apparel</v>
      </c>
      <c r="M758" t="b">
        <f>VLOOKUP(D758,Products!$A:$F,6,FALSE)</f>
        <v>1</v>
      </c>
      <c r="N758">
        <f>VLOOKUP(D758,Products!$A:$F,4,FALSE)</f>
        <v>2611</v>
      </c>
      <c r="O758" t="str">
        <f>VLOOKUP(C758,Customers!$A:$F,5,FALSE)</f>
        <v>Retail</v>
      </c>
      <c r="P758">
        <f>VLOOKUP(C758,Customers!$A:$F,3,FALSE)</f>
        <v>49</v>
      </c>
      <c r="Q758" t="str">
        <f>VLOOKUP(E758,Sales_Reps!$A:$E,3,FALSE)</f>
        <v>West</v>
      </c>
      <c r="R758" t="str">
        <f>VLOOKUP(E758,Sales_Reps!$A:$E,2,FALSE)</f>
        <v>Ramesh Bhatt</v>
      </c>
      <c r="S758">
        <f t="shared" si="11"/>
        <v>0.28269230769230769</v>
      </c>
    </row>
    <row r="759" spans="1:19" x14ac:dyDescent="0.3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  <c r="L759" t="str">
        <f>VLOOKUP(D759,Products!$A:$F,3,FALSE)</f>
        <v>Home</v>
      </c>
      <c r="M759" t="b">
        <f>VLOOKUP(D759,Products!$A:$F,6,FALSE)</f>
        <v>1</v>
      </c>
      <c r="N759">
        <f>VLOOKUP(D759,Products!$A:$F,4,FALSE)</f>
        <v>1850</v>
      </c>
      <c r="O759" t="str">
        <f>VLOOKUP(C759,Customers!$A:$F,5,FALSE)</f>
        <v>Corporate</v>
      </c>
      <c r="P759">
        <f>VLOOKUP(C759,Customers!$A:$F,3,FALSE)</f>
        <v>24</v>
      </c>
      <c r="Q759" t="str">
        <f>VLOOKUP(E759,Sales_Reps!$A:$E,3,FALSE)</f>
        <v>East</v>
      </c>
      <c r="R759" t="str">
        <f>VLOOKUP(E759,Sales_Reps!$A:$E,2,FALSE)</f>
        <v>Shalini Patel</v>
      </c>
      <c r="S759">
        <f t="shared" si="11"/>
        <v>0.59869848156182215</v>
      </c>
    </row>
    <row r="760" spans="1:19" x14ac:dyDescent="0.3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  <c r="L760" t="str">
        <f>VLOOKUP(D760,Products!$A:$F,3,FALSE)</f>
        <v>Sports</v>
      </c>
      <c r="M760" t="b">
        <f>VLOOKUP(D760,Products!$A:$F,6,FALSE)</f>
        <v>1</v>
      </c>
      <c r="N760">
        <f>VLOOKUP(D760,Products!$A:$F,4,FALSE)</f>
        <v>974</v>
      </c>
      <c r="O760" t="str">
        <f>VLOOKUP(C760,Customers!$A:$F,5,FALSE)</f>
        <v>Retail</v>
      </c>
      <c r="P760">
        <f>VLOOKUP(C760,Customers!$A:$F,3,FALSE)</f>
        <v>59</v>
      </c>
      <c r="Q760" t="str">
        <f>VLOOKUP(E760,Sales_Reps!$A:$E,3,FALSE)</f>
        <v>North</v>
      </c>
      <c r="R760" t="str">
        <f>VLOOKUP(E760,Sales_Reps!$A:$E,2,FALSE)</f>
        <v>Rajesh Malhotra</v>
      </c>
      <c r="S760">
        <f t="shared" si="11"/>
        <v>0.59416666666666662</v>
      </c>
    </row>
    <row r="761" spans="1:19" x14ac:dyDescent="0.3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  <c r="L761" t="str">
        <f>VLOOKUP(D761,Products!$A:$F,3,FALSE)</f>
        <v>Beauty</v>
      </c>
      <c r="M761" t="b">
        <f>VLOOKUP(D761,Products!$A:$F,6,FALSE)</f>
        <v>1</v>
      </c>
      <c r="N761">
        <f>VLOOKUP(D761,Products!$A:$F,4,FALSE)</f>
        <v>1728</v>
      </c>
      <c r="O761" t="str">
        <f>VLOOKUP(C761,Customers!$A:$F,5,FALSE)</f>
        <v>Retail</v>
      </c>
      <c r="P761">
        <f>VLOOKUP(C761,Customers!$A:$F,3,FALSE)</f>
        <v>30</v>
      </c>
      <c r="Q761" t="str">
        <f>VLOOKUP(E761,Sales_Reps!$A:$E,3,FALSE)</f>
        <v>North</v>
      </c>
      <c r="R761" t="str">
        <f>VLOOKUP(E761,Sales_Reps!$A:$E,2,FALSE)</f>
        <v>Sunita Malhotra</v>
      </c>
      <c r="S761">
        <f t="shared" si="11"/>
        <v>0.48417910447761192</v>
      </c>
    </row>
    <row r="762" spans="1:19" x14ac:dyDescent="0.3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  <c r="L762" t="str">
        <f>VLOOKUP(D762,Products!$A:$F,3,FALSE)</f>
        <v>Apparel</v>
      </c>
      <c r="M762" t="b">
        <f>VLOOKUP(D762,Products!$A:$F,6,FALSE)</f>
        <v>1</v>
      </c>
      <c r="N762">
        <f>VLOOKUP(D762,Products!$A:$F,4,FALSE)</f>
        <v>2611</v>
      </c>
      <c r="O762" t="str">
        <f>VLOOKUP(C762,Customers!$A:$F,5,FALSE)</f>
        <v>Retail</v>
      </c>
      <c r="P762">
        <f>VLOOKUP(C762,Customers!$A:$F,3,FALSE)</f>
        <v>27</v>
      </c>
      <c r="Q762" t="str">
        <f>VLOOKUP(E762,Sales_Reps!$A:$E,3,FALSE)</f>
        <v>South</v>
      </c>
      <c r="R762" t="str">
        <f>VLOOKUP(E762,Sales_Reps!$A:$E,2,FALSE)</f>
        <v>Pooja Nair</v>
      </c>
      <c r="S762">
        <f t="shared" si="11"/>
        <v>0.28269230769230769</v>
      </c>
    </row>
    <row r="763" spans="1:19" x14ac:dyDescent="0.3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  <c r="L763" t="str">
        <f>VLOOKUP(D763,Products!$A:$F,3,FALSE)</f>
        <v>Apparel</v>
      </c>
      <c r="M763" t="b">
        <f>VLOOKUP(D763,Products!$A:$F,6,FALSE)</f>
        <v>1</v>
      </c>
      <c r="N763">
        <f>VLOOKUP(D763,Products!$A:$F,4,FALSE)</f>
        <v>2611</v>
      </c>
      <c r="O763" t="str">
        <f>VLOOKUP(C763,Customers!$A:$F,5,FALSE)</f>
        <v>Retail</v>
      </c>
      <c r="P763">
        <f>VLOOKUP(C763,Customers!$A:$F,3,FALSE)</f>
        <v>42</v>
      </c>
      <c r="Q763" t="str">
        <f>VLOOKUP(E763,Sales_Reps!$A:$E,3,FALSE)</f>
        <v>West</v>
      </c>
      <c r="R763" t="str">
        <f>VLOOKUP(E763,Sales_Reps!$A:$E,2,FALSE)</f>
        <v>Preeti Shah</v>
      </c>
      <c r="S763">
        <f t="shared" si="11"/>
        <v>0.28269230769230769</v>
      </c>
    </row>
    <row r="764" spans="1:19" x14ac:dyDescent="0.3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  <c r="L764" t="str">
        <f>VLOOKUP(D764,Products!$A:$F,3,FALSE)</f>
        <v>Home</v>
      </c>
      <c r="M764" t="b">
        <f>VLOOKUP(D764,Products!$A:$F,6,FALSE)</f>
        <v>1</v>
      </c>
      <c r="N764">
        <f>VLOOKUP(D764,Products!$A:$F,4,FALSE)</f>
        <v>1143</v>
      </c>
      <c r="O764" t="str">
        <f>VLOOKUP(C764,Customers!$A:$F,5,FALSE)</f>
        <v>Retail</v>
      </c>
      <c r="P764">
        <f>VLOOKUP(C764,Customers!$A:$F,3,FALSE)</f>
        <v>50</v>
      </c>
      <c r="Q764" t="str">
        <f>VLOOKUP(E764,Sales_Reps!$A:$E,3,FALSE)</f>
        <v>South</v>
      </c>
      <c r="R764" t="str">
        <f>VLOOKUP(E764,Sales_Reps!$A:$E,2,FALSE)</f>
        <v>Ritu Menon</v>
      </c>
      <c r="S764">
        <f t="shared" si="11"/>
        <v>0.43694581280788175</v>
      </c>
    </row>
    <row r="765" spans="1:19" x14ac:dyDescent="0.3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  <c r="L765" t="str">
        <f>VLOOKUP(D765,Products!$A:$F,3,FALSE)</f>
        <v>Apparel</v>
      </c>
      <c r="M765" t="b">
        <f>VLOOKUP(D765,Products!$A:$F,6,FALSE)</f>
        <v>1</v>
      </c>
      <c r="N765">
        <f>VLOOKUP(D765,Products!$A:$F,4,FALSE)</f>
        <v>1886</v>
      </c>
      <c r="O765" t="str">
        <f>VLOOKUP(C765,Customers!$A:$F,5,FALSE)</f>
        <v>Retail</v>
      </c>
      <c r="P765">
        <f>VLOOKUP(C765,Customers!$A:$F,3,FALSE)</f>
        <v>29</v>
      </c>
      <c r="Q765" t="str">
        <f>VLOOKUP(E765,Sales_Reps!$A:$E,3,FALSE)</f>
        <v>North</v>
      </c>
      <c r="R765" t="str">
        <f>VLOOKUP(E765,Sales_Reps!$A:$E,2,FALSE)</f>
        <v>Sunita Malhotra</v>
      </c>
      <c r="S765">
        <f t="shared" si="11"/>
        <v>0.4031645569620253</v>
      </c>
    </row>
    <row r="766" spans="1:19" x14ac:dyDescent="0.3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  <c r="L766" t="str">
        <f>VLOOKUP(D766,Products!$A:$F,3,FALSE)</f>
        <v>Grocery</v>
      </c>
      <c r="M766" t="b">
        <f>VLOOKUP(D766,Products!$A:$F,6,FALSE)</f>
        <v>1</v>
      </c>
      <c r="N766">
        <f>VLOOKUP(D766,Products!$A:$F,4,FALSE)</f>
        <v>2027</v>
      </c>
      <c r="O766" t="str">
        <f>VLOOKUP(C766,Customers!$A:$F,5,FALSE)</f>
        <v>SMB</v>
      </c>
      <c r="P766">
        <f>VLOOKUP(C766,Customers!$A:$F,3,FALSE)</f>
        <v>26</v>
      </c>
      <c r="Q766" t="str">
        <f>VLOOKUP(E766,Sales_Reps!$A:$E,3,FALSE)</f>
        <v>West</v>
      </c>
      <c r="R766" t="str">
        <f>VLOOKUP(E766,Sales_Reps!$A:$E,2,FALSE)</f>
        <v>Arun Iyer</v>
      </c>
      <c r="S766">
        <f t="shared" si="11"/>
        <v>0.50196560196560192</v>
      </c>
    </row>
    <row r="767" spans="1:19" x14ac:dyDescent="0.3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  <c r="L767" t="str">
        <f>VLOOKUP(D767,Products!$A:$F,3,FALSE)</f>
        <v>Grocery</v>
      </c>
      <c r="M767" t="b">
        <f>VLOOKUP(D767,Products!$A:$F,6,FALSE)</f>
        <v>1</v>
      </c>
      <c r="N767">
        <f>VLOOKUP(D767,Products!$A:$F,4,FALSE)</f>
        <v>2911</v>
      </c>
      <c r="O767" t="str">
        <f>VLOOKUP(C767,Customers!$A:$F,5,FALSE)</f>
        <v>Retail</v>
      </c>
      <c r="P767">
        <f>VLOOKUP(C767,Customers!$A:$F,3,FALSE)</f>
        <v>40</v>
      </c>
      <c r="Q767" t="str">
        <f>VLOOKUP(E767,Sales_Reps!$A:$E,3,FALSE)</f>
        <v>West</v>
      </c>
      <c r="R767" t="str">
        <f>VLOOKUP(E767,Sales_Reps!$A:$E,2,FALSE)</f>
        <v>Rekha Chopra</v>
      </c>
      <c r="S767">
        <f t="shared" si="11"/>
        <v>0.28300492610837441</v>
      </c>
    </row>
    <row r="768" spans="1:19" x14ac:dyDescent="0.3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  <c r="L768" t="str">
        <f>VLOOKUP(D768,Products!$A:$F,3,FALSE)</f>
        <v>Sports</v>
      </c>
      <c r="M768" t="b">
        <f>VLOOKUP(D768,Products!$A:$F,6,FALSE)</f>
        <v>1</v>
      </c>
      <c r="N768">
        <f>VLOOKUP(D768,Products!$A:$F,4,FALSE)</f>
        <v>705</v>
      </c>
      <c r="O768" t="str">
        <f>VLOOKUP(C768,Customers!$A:$F,5,FALSE)</f>
        <v>Retail</v>
      </c>
      <c r="P768">
        <f>VLOOKUP(C768,Customers!$A:$F,3,FALSE)</f>
        <v>56</v>
      </c>
      <c r="Q768" t="str">
        <f>VLOOKUP(E768,Sales_Reps!$A:$E,3,FALSE)</f>
        <v>East</v>
      </c>
      <c r="R768" t="str">
        <f>VLOOKUP(E768,Sales_Reps!$A:$E,2,FALSE)</f>
        <v>Shalini Patel</v>
      </c>
      <c r="S768">
        <f t="shared" si="11"/>
        <v>0.265625</v>
      </c>
    </row>
    <row r="769" spans="1:19" x14ac:dyDescent="0.3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  <c r="L769" t="str">
        <f>VLOOKUP(D769,Products!$A:$F,3,FALSE)</f>
        <v>Grocery</v>
      </c>
      <c r="M769" t="b">
        <f>VLOOKUP(D769,Products!$A:$F,6,FALSE)</f>
        <v>1</v>
      </c>
      <c r="N769">
        <f>VLOOKUP(D769,Products!$A:$F,4,FALSE)</f>
        <v>1412</v>
      </c>
      <c r="O769" t="str">
        <f>VLOOKUP(C769,Customers!$A:$F,5,FALSE)</f>
        <v>SMB</v>
      </c>
      <c r="P769">
        <f>VLOOKUP(C769,Customers!$A:$F,3,FALSE)</f>
        <v>35</v>
      </c>
      <c r="Q769" t="str">
        <f>VLOOKUP(E769,Sales_Reps!$A:$E,3,FALSE)</f>
        <v>West</v>
      </c>
      <c r="R769" t="str">
        <f>VLOOKUP(E769,Sales_Reps!$A:$E,2,FALSE)</f>
        <v>Ramesh Bhatt</v>
      </c>
      <c r="S769">
        <f t="shared" si="11"/>
        <v>0.37797356828193834</v>
      </c>
    </row>
    <row r="770" spans="1:19" x14ac:dyDescent="0.3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  <c r="L770" t="str">
        <f>VLOOKUP(D770,Products!$A:$F,3,FALSE)</f>
        <v>Grocery</v>
      </c>
      <c r="M770" t="b">
        <f>VLOOKUP(D770,Products!$A:$F,6,FALSE)</f>
        <v>1</v>
      </c>
      <c r="N770">
        <f>VLOOKUP(D770,Products!$A:$F,4,FALSE)</f>
        <v>2436</v>
      </c>
      <c r="O770" t="str">
        <f>VLOOKUP(C770,Customers!$A:$F,5,FALSE)</f>
        <v>Retail</v>
      </c>
      <c r="P770">
        <f>VLOOKUP(C770,Customers!$A:$F,3,FALSE)</f>
        <v>29</v>
      </c>
      <c r="Q770" t="str">
        <f>VLOOKUP(E770,Sales_Reps!$A:$E,3,FALSE)</f>
        <v>North</v>
      </c>
      <c r="R770" t="str">
        <f>VLOOKUP(E770,Sales_Reps!$A:$E,2,FALSE)</f>
        <v>Suresh Menon</v>
      </c>
      <c r="S770">
        <f t="shared" si="11"/>
        <v>0.35555555555555557</v>
      </c>
    </row>
    <row r="771" spans="1:19" x14ac:dyDescent="0.3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  <c r="L771" t="str">
        <f>VLOOKUP(D771,Products!$A:$F,3,FALSE)</f>
        <v>Beauty</v>
      </c>
      <c r="M771" t="b">
        <f>VLOOKUP(D771,Products!$A:$F,6,FALSE)</f>
        <v>1</v>
      </c>
      <c r="N771">
        <f>VLOOKUP(D771,Products!$A:$F,4,FALSE)</f>
        <v>1219</v>
      </c>
      <c r="O771" t="str">
        <f>VLOOKUP(C771,Customers!$A:$F,5,FALSE)</f>
        <v>Retail</v>
      </c>
      <c r="P771">
        <f>VLOOKUP(C771,Customers!$A:$F,3,FALSE)</f>
        <v>57</v>
      </c>
      <c r="Q771" t="str">
        <f>VLOOKUP(E771,Sales_Reps!$A:$E,3,FALSE)</f>
        <v>West</v>
      </c>
      <c r="R771" t="str">
        <f>VLOOKUP(E771,Sales_Reps!$A:$E,2,FALSE)</f>
        <v>Preeti Shah</v>
      </c>
      <c r="S771">
        <f t="shared" ref="S771:S834" si="12">IFERROR((G771-N771)/G771,"")</f>
        <v>0.46768558951965067</v>
      </c>
    </row>
    <row r="772" spans="1:19" x14ac:dyDescent="0.3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  <c r="L772" t="str">
        <f>VLOOKUP(D772,Products!$A:$F,3,FALSE)</f>
        <v>Beauty</v>
      </c>
      <c r="M772" t="b">
        <f>VLOOKUP(D772,Products!$A:$F,6,FALSE)</f>
        <v>1</v>
      </c>
      <c r="N772">
        <f>VLOOKUP(D772,Products!$A:$F,4,FALSE)</f>
        <v>1728</v>
      </c>
      <c r="O772" t="str">
        <f>VLOOKUP(C772,Customers!$A:$F,5,FALSE)</f>
        <v>Retail</v>
      </c>
      <c r="P772">
        <f>VLOOKUP(C772,Customers!$A:$F,3,FALSE)</f>
        <v>42</v>
      </c>
      <c r="Q772" t="str">
        <f>VLOOKUP(E772,Sales_Reps!$A:$E,3,FALSE)</f>
        <v>East</v>
      </c>
      <c r="R772" t="str">
        <f>VLOOKUP(E772,Sales_Reps!$A:$E,2,FALSE)</f>
        <v>Naveen Singh</v>
      </c>
      <c r="S772">
        <f t="shared" si="12"/>
        <v>0.48417910447761192</v>
      </c>
    </row>
    <row r="773" spans="1:19" x14ac:dyDescent="0.3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  <c r="L773" t="str">
        <f>VLOOKUP(D773,Products!$A:$F,3,FALSE)</f>
        <v>Apparel</v>
      </c>
      <c r="M773" t="b">
        <f>VLOOKUP(D773,Products!$A:$F,6,FALSE)</f>
        <v>0</v>
      </c>
      <c r="N773">
        <f>VLOOKUP(D773,Products!$A:$F,4,FALSE)</f>
        <v>1075</v>
      </c>
      <c r="O773" t="str">
        <f>VLOOKUP(C773,Customers!$A:$F,5,FALSE)</f>
        <v>SMB</v>
      </c>
      <c r="P773">
        <f>VLOOKUP(C773,Customers!$A:$F,3,FALSE)</f>
        <v>54</v>
      </c>
      <c r="Q773" t="str">
        <f>VLOOKUP(E773,Sales_Reps!$A:$E,3,FALSE)</f>
        <v>East</v>
      </c>
      <c r="R773" t="str">
        <f>VLOOKUP(E773,Sales_Reps!$A:$E,2,FALSE)</f>
        <v>Gaurav Desai</v>
      </c>
      <c r="S773">
        <f t="shared" si="12"/>
        <v>0.57171314741035861</v>
      </c>
    </row>
    <row r="774" spans="1:19" x14ac:dyDescent="0.3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  <c r="L774" t="str">
        <f>VLOOKUP(D774,Products!$A:$F,3,FALSE)</f>
        <v>Electronics</v>
      </c>
      <c r="M774" t="b">
        <f>VLOOKUP(D774,Products!$A:$F,6,FALSE)</f>
        <v>1</v>
      </c>
      <c r="N774">
        <f>VLOOKUP(D774,Products!$A:$F,4,FALSE)</f>
        <v>1052</v>
      </c>
      <c r="O774" t="str">
        <f>VLOOKUP(C774,Customers!$A:$F,5,FALSE)</f>
        <v>Retail</v>
      </c>
      <c r="P774">
        <f>VLOOKUP(C774,Customers!$A:$F,3,FALSE)</f>
        <v>49</v>
      </c>
      <c r="Q774" t="str">
        <f>VLOOKUP(E774,Sales_Reps!$A:$E,3,FALSE)</f>
        <v>East</v>
      </c>
      <c r="R774" t="str">
        <f>VLOOKUP(E774,Sales_Reps!$A:$E,2,FALSE)</f>
        <v>Shalini Patel</v>
      </c>
      <c r="S774">
        <f t="shared" si="12"/>
        <v>0.5953846153846154</v>
      </c>
    </row>
    <row r="775" spans="1:19" x14ac:dyDescent="0.3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  <c r="L775" t="str">
        <f>VLOOKUP(D775,Products!$A:$F,3,FALSE)</f>
        <v>Sports</v>
      </c>
      <c r="M775" t="b">
        <f>VLOOKUP(D775,Products!$A:$F,6,FALSE)</f>
        <v>0</v>
      </c>
      <c r="N775">
        <f>VLOOKUP(D775,Products!$A:$F,4,FALSE)</f>
        <v>302</v>
      </c>
      <c r="O775" t="str">
        <f>VLOOKUP(C775,Customers!$A:$F,5,FALSE)</f>
        <v>Retail</v>
      </c>
      <c r="P775">
        <f>VLOOKUP(C775,Customers!$A:$F,3,FALSE)</f>
        <v>55</v>
      </c>
      <c r="Q775" t="str">
        <f>VLOOKUP(E775,Sales_Reps!$A:$E,3,FALSE)</f>
        <v>North</v>
      </c>
      <c r="R775" t="str">
        <f>VLOOKUP(E775,Sales_Reps!$A:$E,2,FALSE)</f>
        <v>Amit Singh</v>
      </c>
      <c r="S775">
        <f t="shared" si="12"/>
        <v>0.35744680851063831</v>
      </c>
    </row>
    <row r="776" spans="1:19" x14ac:dyDescent="0.3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  <c r="L776" t="str">
        <f>VLOOKUP(D776,Products!$A:$F,3,FALSE)</f>
        <v>Home</v>
      </c>
      <c r="M776" t="b">
        <f>VLOOKUP(D776,Products!$A:$F,6,FALSE)</f>
        <v>1</v>
      </c>
      <c r="N776">
        <f>VLOOKUP(D776,Products!$A:$F,4,FALSE)</f>
        <v>519</v>
      </c>
      <c r="O776" t="str">
        <f>VLOOKUP(C776,Customers!$A:$F,5,FALSE)</f>
        <v>Corporate</v>
      </c>
      <c r="P776">
        <f>VLOOKUP(C776,Customers!$A:$F,3,FALSE)</f>
        <v>47</v>
      </c>
      <c r="Q776" t="str">
        <f>VLOOKUP(E776,Sales_Reps!$A:$E,3,FALSE)</f>
        <v>South</v>
      </c>
      <c r="R776" t="str">
        <f>VLOOKUP(E776,Sales_Reps!$A:$E,2,FALSE)</f>
        <v>Pooja Nair</v>
      </c>
      <c r="S776">
        <f t="shared" si="12"/>
        <v>0.51944444444444449</v>
      </c>
    </row>
    <row r="777" spans="1:19" x14ac:dyDescent="0.3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  <c r="L777" t="str">
        <f>VLOOKUP(D777,Products!$A:$F,3,FALSE)</f>
        <v>Sports</v>
      </c>
      <c r="M777" t="b">
        <f>VLOOKUP(D777,Products!$A:$F,6,FALSE)</f>
        <v>1</v>
      </c>
      <c r="N777">
        <f>VLOOKUP(D777,Products!$A:$F,4,FALSE)</f>
        <v>516</v>
      </c>
      <c r="O777" t="str">
        <f>VLOOKUP(C777,Customers!$A:$F,5,FALSE)</f>
        <v>SMB</v>
      </c>
      <c r="P777">
        <f>VLOOKUP(C777,Customers!$A:$F,3,FALSE)</f>
        <v>44</v>
      </c>
      <c r="Q777" t="str">
        <f>VLOOKUP(E777,Sales_Reps!$A:$E,3,FALSE)</f>
        <v>East</v>
      </c>
      <c r="R777" t="str">
        <f>VLOOKUP(E777,Sales_Reps!$A:$E,2,FALSE)</f>
        <v>Prakash Shah</v>
      </c>
      <c r="S777">
        <f t="shared" si="12"/>
        <v>0.4891089108910891</v>
      </c>
    </row>
    <row r="778" spans="1:19" x14ac:dyDescent="0.3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  <c r="L778" t="str">
        <f>VLOOKUP(D778,Products!$A:$F,3,FALSE)</f>
        <v>Electronics</v>
      </c>
      <c r="M778" t="b">
        <f>VLOOKUP(D778,Products!$A:$F,6,FALSE)</f>
        <v>1</v>
      </c>
      <c r="N778">
        <f>VLOOKUP(D778,Products!$A:$F,4,FALSE)</f>
        <v>1559</v>
      </c>
      <c r="O778" t="str">
        <f>VLOOKUP(C778,Customers!$A:$F,5,FALSE)</f>
        <v>SMB</v>
      </c>
      <c r="P778">
        <f>VLOOKUP(C778,Customers!$A:$F,3,FALSE)</f>
        <v>26</v>
      </c>
      <c r="Q778" t="str">
        <f>VLOOKUP(E778,Sales_Reps!$A:$E,3,FALSE)</f>
        <v>North</v>
      </c>
      <c r="R778" t="str">
        <f>VLOOKUP(E778,Sales_Reps!$A:$E,2,FALSE)</f>
        <v>Sunita Malhotra</v>
      </c>
      <c r="S778">
        <f t="shared" si="12"/>
        <v>0.59715762273901807</v>
      </c>
    </row>
    <row r="779" spans="1:19" x14ac:dyDescent="0.3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  <c r="L779" t="str">
        <f>VLOOKUP(D779,Products!$A:$F,3,FALSE)</f>
        <v>Home</v>
      </c>
      <c r="M779" t="b">
        <f>VLOOKUP(D779,Products!$A:$F,6,FALSE)</f>
        <v>1</v>
      </c>
      <c r="N779">
        <f>VLOOKUP(D779,Products!$A:$F,4,FALSE)</f>
        <v>1143</v>
      </c>
      <c r="O779" t="str">
        <f>VLOOKUP(C779,Customers!$A:$F,5,FALSE)</f>
        <v>Retail</v>
      </c>
      <c r="P779">
        <f>VLOOKUP(C779,Customers!$A:$F,3,FALSE)</f>
        <v>44</v>
      </c>
      <c r="Q779" t="str">
        <f>VLOOKUP(E779,Sales_Reps!$A:$E,3,FALSE)</f>
        <v>West</v>
      </c>
      <c r="R779" t="str">
        <f>VLOOKUP(E779,Sales_Reps!$A:$E,2,FALSE)</f>
        <v>Ramesh Bhatt</v>
      </c>
      <c r="S779">
        <f t="shared" si="12"/>
        <v>0.43694581280788175</v>
      </c>
    </row>
    <row r="780" spans="1:19" x14ac:dyDescent="0.3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  <c r="L780" t="str">
        <f>VLOOKUP(D780,Products!$A:$F,3,FALSE)</f>
        <v>Home</v>
      </c>
      <c r="M780" t="b">
        <f>VLOOKUP(D780,Products!$A:$F,6,FALSE)</f>
        <v>1</v>
      </c>
      <c r="N780">
        <f>VLOOKUP(D780,Products!$A:$F,4,FALSE)</f>
        <v>519</v>
      </c>
      <c r="O780" t="str">
        <f>VLOOKUP(C780,Customers!$A:$F,5,FALSE)</f>
        <v>Retail</v>
      </c>
      <c r="P780">
        <f>VLOOKUP(C780,Customers!$A:$F,3,FALSE)</f>
        <v>44</v>
      </c>
      <c r="Q780" t="str">
        <f>VLOOKUP(E780,Sales_Reps!$A:$E,3,FALSE)</f>
        <v>West</v>
      </c>
      <c r="R780" t="str">
        <f>VLOOKUP(E780,Sales_Reps!$A:$E,2,FALSE)</f>
        <v>Ramesh Bhatt</v>
      </c>
      <c r="S780">
        <f t="shared" si="12"/>
        <v>0.51944444444444449</v>
      </c>
    </row>
    <row r="781" spans="1:19" x14ac:dyDescent="0.3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  <c r="L781" t="str">
        <f>VLOOKUP(D781,Products!$A:$F,3,FALSE)</f>
        <v>Home</v>
      </c>
      <c r="M781" t="b">
        <f>VLOOKUP(D781,Products!$A:$F,6,FALSE)</f>
        <v>1</v>
      </c>
      <c r="N781">
        <f>VLOOKUP(D781,Products!$A:$F,4,FALSE)</f>
        <v>464</v>
      </c>
      <c r="O781" t="str">
        <f>VLOOKUP(C781,Customers!$A:$F,5,FALSE)</f>
        <v>Corporate</v>
      </c>
      <c r="P781">
        <f>VLOOKUP(C781,Customers!$A:$F,3,FALSE)</f>
        <v>51</v>
      </c>
      <c r="Q781" t="str">
        <f>VLOOKUP(E781,Sales_Reps!$A:$E,3,FALSE)</f>
        <v>South</v>
      </c>
      <c r="R781" t="str">
        <f>VLOOKUP(E781,Sales_Reps!$A:$E,2,FALSE)</f>
        <v>Manoj Patel</v>
      </c>
      <c r="S781">
        <f t="shared" si="12"/>
        <v>0.57431192660550456</v>
      </c>
    </row>
    <row r="782" spans="1:19" x14ac:dyDescent="0.3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  <c r="L782" t="str">
        <f>VLOOKUP(D782,Products!$A:$F,3,FALSE)</f>
        <v>Home</v>
      </c>
      <c r="M782" t="b">
        <f>VLOOKUP(D782,Products!$A:$F,6,FALSE)</f>
        <v>1</v>
      </c>
      <c r="N782">
        <f>VLOOKUP(D782,Products!$A:$F,4,FALSE)</f>
        <v>288</v>
      </c>
      <c r="O782" t="str">
        <f>VLOOKUP(C782,Customers!$A:$F,5,FALSE)</f>
        <v>Retail</v>
      </c>
      <c r="P782">
        <f>VLOOKUP(C782,Customers!$A:$F,3,FALSE)</f>
        <v>28</v>
      </c>
      <c r="Q782" t="str">
        <f>VLOOKUP(E782,Sales_Reps!$A:$E,3,FALSE)</f>
        <v>South</v>
      </c>
      <c r="R782" t="str">
        <f>VLOOKUP(E782,Sales_Reps!$A:$E,2,FALSE)</f>
        <v>Anil Verma</v>
      </c>
      <c r="S782">
        <f t="shared" si="12"/>
        <v>0.22162162162162163</v>
      </c>
    </row>
    <row r="783" spans="1:19" x14ac:dyDescent="0.3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  <c r="L783" t="str">
        <f>VLOOKUP(D783,Products!$A:$F,3,FALSE)</f>
        <v>Apparel</v>
      </c>
      <c r="M783" t="b">
        <f>VLOOKUP(D783,Products!$A:$F,6,FALSE)</f>
        <v>1</v>
      </c>
      <c r="N783">
        <f>VLOOKUP(D783,Products!$A:$F,4,FALSE)</f>
        <v>2629</v>
      </c>
      <c r="O783" t="str">
        <f>VLOOKUP(C783,Customers!$A:$F,5,FALSE)</f>
        <v>Retail</v>
      </c>
      <c r="P783">
        <f>VLOOKUP(C783,Customers!$A:$F,3,FALSE)</f>
        <v>54</v>
      </c>
      <c r="Q783" t="str">
        <f>VLOOKUP(E783,Sales_Reps!$A:$E,3,FALSE)</f>
        <v>East</v>
      </c>
      <c r="R783" t="str">
        <f>VLOOKUP(E783,Sales_Reps!$A:$E,2,FALSE)</f>
        <v>Shalini Patel</v>
      </c>
      <c r="S783">
        <f t="shared" si="12"/>
        <v>0.26151685393258428</v>
      </c>
    </row>
    <row r="784" spans="1:19" x14ac:dyDescent="0.3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  <c r="L784" t="str">
        <f>VLOOKUP(D784,Products!$A:$F,3,FALSE)</f>
        <v>Beauty</v>
      </c>
      <c r="M784" t="b">
        <f>VLOOKUP(D784,Products!$A:$F,6,FALSE)</f>
        <v>1</v>
      </c>
      <c r="N784">
        <f>VLOOKUP(D784,Products!$A:$F,4,FALSE)</f>
        <v>2617</v>
      </c>
      <c r="O784" t="str">
        <f>VLOOKUP(C784,Customers!$A:$F,5,FALSE)</f>
        <v>Retail</v>
      </c>
      <c r="P784">
        <f>VLOOKUP(C784,Customers!$A:$F,3,FALSE)</f>
        <v>62</v>
      </c>
      <c r="Q784" t="str">
        <f>VLOOKUP(E784,Sales_Reps!$A:$E,3,FALSE)</f>
        <v>South</v>
      </c>
      <c r="R784" t="str">
        <f>VLOOKUP(E784,Sales_Reps!$A:$E,2,FALSE)</f>
        <v>Anjali Chopra</v>
      </c>
      <c r="S784">
        <f t="shared" si="12"/>
        <v>0.56957236842105263</v>
      </c>
    </row>
    <row r="785" spans="1:19" x14ac:dyDescent="0.3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  <c r="L785" t="str">
        <f>VLOOKUP(D785,Products!$A:$F,3,FALSE)</f>
        <v>Sports</v>
      </c>
      <c r="M785" t="b">
        <f>VLOOKUP(D785,Products!$A:$F,6,FALSE)</f>
        <v>1</v>
      </c>
      <c r="N785">
        <f>VLOOKUP(D785,Products!$A:$F,4,FALSE)</f>
        <v>2467</v>
      </c>
      <c r="O785" t="str">
        <f>VLOOKUP(C785,Customers!$A:$F,5,FALSE)</f>
        <v>Corporate</v>
      </c>
      <c r="P785">
        <f>VLOOKUP(C785,Customers!$A:$F,3,FALSE)</f>
        <v>32</v>
      </c>
      <c r="Q785" t="str">
        <f>VLOOKUP(E785,Sales_Reps!$A:$E,3,FALSE)</f>
        <v>South</v>
      </c>
      <c r="R785" t="str">
        <f>VLOOKUP(E785,Sales_Reps!$A:$E,2,FALSE)</f>
        <v>Deepak Shah</v>
      </c>
      <c r="S785">
        <f t="shared" si="12"/>
        <v>0.28492753623188405</v>
      </c>
    </row>
    <row r="786" spans="1:19" x14ac:dyDescent="0.3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  <c r="L786" t="str">
        <f>VLOOKUP(D786,Products!$A:$F,3,FALSE)</f>
        <v>Home</v>
      </c>
      <c r="M786" t="b">
        <f>VLOOKUP(D786,Products!$A:$F,6,FALSE)</f>
        <v>1</v>
      </c>
      <c r="N786">
        <f>VLOOKUP(D786,Products!$A:$F,4,FALSE)</f>
        <v>2459</v>
      </c>
      <c r="O786" t="str">
        <f>VLOOKUP(C786,Customers!$A:$F,5,FALSE)</f>
        <v>Retail</v>
      </c>
      <c r="P786">
        <f>VLOOKUP(C786,Customers!$A:$F,3,FALSE)</f>
        <v>51</v>
      </c>
      <c r="Q786" t="str">
        <f>VLOOKUP(E786,Sales_Reps!$A:$E,3,FALSE)</f>
        <v>South</v>
      </c>
      <c r="R786" t="str">
        <f>VLOOKUP(E786,Sales_Reps!$A:$E,2,FALSE)</f>
        <v>Manoj Patel</v>
      </c>
      <c r="S786">
        <f t="shared" si="12"/>
        <v>0.51594488188976373</v>
      </c>
    </row>
    <row r="787" spans="1:19" x14ac:dyDescent="0.3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  <c r="L787" t="str">
        <f>VLOOKUP(D787,Products!$A:$F,3,FALSE)</f>
        <v>Apparel</v>
      </c>
      <c r="M787" t="b">
        <f>VLOOKUP(D787,Products!$A:$F,6,FALSE)</f>
        <v>1</v>
      </c>
      <c r="N787">
        <f>VLOOKUP(D787,Products!$A:$F,4,FALSE)</f>
        <v>1748</v>
      </c>
      <c r="O787" t="str">
        <f>VLOOKUP(C787,Customers!$A:$F,5,FALSE)</f>
        <v>SMB</v>
      </c>
      <c r="P787">
        <f>VLOOKUP(C787,Customers!$A:$F,3,FALSE)</f>
        <v>28</v>
      </c>
      <c r="Q787" t="str">
        <f>VLOOKUP(E787,Sales_Reps!$A:$E,3,FALSE)</f>
        <v>East</v>
      </c>
      <c r="R787" t="str">
        <f>VLOOKUP(E787,Sales_Reps!$A:$E,2,FALSE)</f>
        <v>Vinod Kumar</v>
      </c>
      <c r="S787">
        <f t="shared" si="12"/>
        <v>0.49333333333333335</v>
      </c>
    </row>
    <row r="788" spans="1:19" x14ac:dyDescent="0.3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  <c r="L788" t="str">
        <f>VLOOKUP(D788,Products!$A:$F,3,FALSE)</f>
        <v>Grocery</v>
      </c>
      <c r="M788" t="b">
        <f>VLOOKUP(D788,Products!$A:$F,6,FALSE)</f>
        <v>1</v>
      </c>
      <c r="N788">
        <f>VLOOKUP(D788,Products!$A:$F,4,FALSE)</f>
        <v>1203</v>
      </c>
      <c r="O788" t="str">
        <f>VLOOKUP(C788,Customers!$A:$F,5,FALSE)</f>
        <v>Retail</v>
      </c>
      <c r="P788">
        <f>VLOOKUP(C788,Customers!$A:$F,3,FALSE)</f>
        <v>39</v>
      </c>
      <c r="Q788" t="str">
        <f>VLOOKUP(E788,Sales_Reps!$A:$E,3,FALSE)</f>
        <v>South</v>
      </c>
      <c r="R788" t="str">
        <f>VLOOKUP(E788,Sales_Reps!$A:$E,2,FALSE)</f>
        <v>Manoj Patel</v>
      </c>
      <c r="S788">
        <f t="shared" si="12"/>
        <v>0.47004405286343615</v>
      </c>
    </row>
    <row r="789" spans="1:19" x14ac:dyDescent="0.3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  <c r="L789" t="str">
        <f>VLOOKUP(D789,Products!$A:$F,3,FALSE)</f>
        <v>Apparel</v>
      </c>
      <c r="M789" t="b">
        <f>VLOOKUP(D789,Products!$A:$F,6,FALSE)</f>
        <v>1</v>
      </c>
      <c r="N789">
        <f>VLOOKUP(D789,Products!$A:$F,4,FALSE)</f>
        <v>1886</v>
      </c>
      <c r="O789" t="str">
        <f>VLOOKUP(C789,Customers!$A:$F,5,FALSE)</f>
        <v>SMB</v>
      </c>
      <c r="P789">
        <f>VLOOKUP(C789,Customers!$A:$F,3,FALSE)</f>
        <v>44</v>
      </c>
      <c r="Q789" t="str">
        <f>VLOOKUP(E789,Sales_Reps!$A:$E,3,FALSE)</f>
        <v>East</v>
      </c>
      <c r="R789" t="str">
        <f>VLOOKUP(E789,Sales_Reps!$A:$E,2,FALSE)</f>
        <v>Vinod Kumar</v>
      </c>
      <c r="S789">
        <f t="shared" si="12"/>
        <v>0.4031645569620253</v>
      </c>
    </row>
    <row r="790" spans="1:19" x14ac:dyDescent="0.3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  <c r="L790" t="str">
        <f>VLOOKUP(D790,Products!$A:$F,3,FALSE)</f>
        <v>Beauty</v>
      </c>
      <c r="M790" t="b">
        <f>VLOOKUP(D790,Products!$A:$F,6,FALSE)</f>
        <v>1</v>
      </c>
      <c r="N790">
        <f>VLOOKUP(D790,Products!$A:$F,4,FALSE)</f>
        <v>1728</v>
      </c>
      <c r="O790" t="str">
        <f>VLOOKUP(C790,Customers!$A:$F,5,FALSE)</f>
        <v>Retail</v>
      </c>
      <c r="P790">
        <f>VLOOKUP(C790,Customers!$A:$F,3,FALSE)</f>
        <v>54</v>
      </c>
      <c r="Q790" t="str">
        <f>VLOOKUP(E790,Sales_Reps!$A:$E,3,FALSE)</f>
        <v>West</v>
      </c>
      <c r="R790" t="str">
        <f>VLOOKUP(E790,Sales_Reps!$A:$E,2,FALSE)</f>
        <v>Arun Iyer</v>
      </c>
      <c r="S790">
        <f t="shared" si="12"/>
        <v>0.48417910447761192</v>
      </c>
    </row>
    <row r="791" spans="1:19" x14ac:dyDescent="0.3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  <c r="L791" t="str">
        <f>VLOOKUP(D791,Products!$A:$F,3,FALSE)</f>
        <v>Beauty</v>
      </c>
      <c r="M791" t="b">
        <f>VLOOKUP(D791,Products!$A:$F,6,FALSE)</f>
        <v>1</v>
      </c>
      <c r="N791">
        <f>VLOOKUP(D791,Products!$A:$F,4,FALSE)</f>
        <v>1222</v>
      </c>
      <c r="O791" t="str">
        <f>VLOOKUP(C791,Customers!$A:$F,5,FALSE)</f>
        <v>Retail</v>
      </c>
      <c r="P791">
        <f>VLOOKUP(C791,Customers!$A:$F,3,FALSE)</f>
        <v>54</v>
      </c>
      <c r="Q791" t="str">
        <f>VLOOKUP(E791,Sales_Reps!$A:$E,3,FALSE)</f>
        <v>West</v>
      </c>
      <c r="R791" t="str">
        <f>VLOOKUP(E791,Sales_Reps!$A:$E,2,FALSE)</f>
        <v>Arun Iyer</v>
      </c>
      <c r="S791">
        <f t="shared" si="12"/>
        <v>0.2593939393939394</v>
      </c>
    </row>
    <row r="792" spans="1:19" x14ac:dyDescent="0.3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  <c r="L792" t="str">
        <f>VLOOKUP(D792,Products!$A:$F,3,FALSE)</f>
        <v>Home</v>
      </c>
      <c r="M792" t="b">
        <f>VLOOKUP(D792,Products!$A:$F,6,FALSE)</f>
        <v>1</v>
      </c>
      <c r="N792">
        <f>VLOOKUP(D792,Products!$A:$F,4,FALSE)</f>
        <v>2549</v>
      </c>
      <c r="O792" t="str">
        <f>VLOOKUP(C792,Customers!$A:$F,5,FALSE)</f>
        <v>SMB</v>
      </c>
      <c r="P792">
        <f>VLOOKUP(C792,Customers!$A:$F,3,FALSE)</f>
        <v>26</v>
      </c>
      <c r="Q792" t="str">
        <f>VLOOKUP(E792,Sales_Reps!$A:$E,3,FALSE)</f>
        <v>North</v>
      </c>
      <c r="R792" t="str">
        <f>VLOOKUP(E792,Sales_Reps!$A:$E,2,FALSE)</f>
        <v>Amit Singh</v>
      </c>
      <c r="S792">
        <f t="shared" si="12"/>
        <v>0.53570127504553733</v>
      </c>
    </row>
    <row r="793" spans="1:19" x14ac:dyDescent="0.3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  <c r="L793" t="str">
        <f>VLOOKUP(D793,Products!$A:$F,3,FALSE)</f>
        <v>Home</v>
      </c>
      <c r="M793" t="b">
        <f>VLOOKUP(D793,Products!$A:$F,6,FALSE)</f>
        <v>1</v>
      </c>
      <c r="N793">
        <f>VLOOKUP(D793,Products!$A:$F,4,FALSE)</f>
        <v>519</v>
      </c>
      <c r="O793" t="str">
        <f>VLOOKUP(C793,Customers!$A:$F,5,FALSE)</f>
        <v>Retail</v>
      </c>
      <c r="P793">
        <f>VLOOKUP(C793,Customers!$A:$F,3,FALSE)</f>
        <v>63</v>
      </c>
      <c r="Q793" t="str">
        <f>VLOOKUP(E793,Sales_Reps!$A:$E,3,FALSE)</f>
        <v>West</v>
      </c>
      <c r="R793" t="str">
        <f>VLOOKUP(E793,Sales_Reps!$A:$E,2,FALSE)</f>
        <v>Rekha Chopra</v>
      </c>
      <c r="S793">
        <f t="shared" si="12"/>
        <v>0.51944444444444449</v>
      </c>
    </row>
    <row r="794" spans="1:19" x14ac:dyDescent="0.3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  <c r="L794" t="str">
        <f>VLOOKUP(D794,Products!$A:$F,3,FALSE)</f>
        <v>Grocery</v>
      </c>
      <c r="M794" t="b">
        <f>VLOOKUP(D794,Products!$A:$F,6,FALSE)</f>
        <v>1</v>
      </c>
      <c r="N794">
        <f>VLOOKUP(D794,Products!$A:$F,4,FALSE)</f>
        <v>2436</v>
      </c>
      <c r="O794" t="e">
        <f>VLOOKUP(C794,Customers!$A:$F,5,FALSE)</f>
        <v>#N/A</v>
      </c>
      <c r="P794" t="e">
        <f>VLOOKUP(C794,Customers!$A:$F,3,FALSE)</f>
        <v>#N/A</v>
      </c>
      <c r="Q794" t="str">
        <f>VLOOKUP(E794,Sales_Reps!$A:$E,3,FALSE)</f>
        <v>East</v>
      </c>
      <c r="R794" t="str">
        <f>VLOOKUP(E794,Sales_Reps!$A:$E,2,FALSE)</f>
        <v>Shalini Patel</v>
      </c>
      <c r="S794">
        <f t="shared" si="12"/>
        <v>0.35555555555555557</v>
      </c>
    </row>
    <row r="795" spans="1:19" x14ac:dyDescent="0.3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  <c r="L795" t="str">
        <f>VLOOKUP(D795,Products!$A:$F,3,FALSE)</f>
        <v>Home</v>
      </c>
      <c r="M795" t="b">
        <f>VLOOKUP(D795,Products!$A:$F,6,FALSE)</f>
        <v>1</v>
      </c>
      <c r="N795">
        <f>VLOOKUP(D795,Products!$A:$F,4,FALSE)</f>
        <v>1143</v>
      </c>
      <c r="O795" t="str">
        <f>VLOOKUP(C795,Customers!$A:$F,5,FALSE)</f>
        <v>Retail</v>
      </c>
      <c r="P795">
        <f>VLOOKUP(C795,Customers!$A:$F,3,FALSE)</f>
        <v>26</v>
      </c>
      <c r="Q795" t="str">
        <f>VLOOKUP(E795,Sales_Reps!$A:$E,3,FALSE)</f>
        <v>West</v>
      </c>
      <c r="R795" t="str">
        <f>VLOOKUP(E795,Sales_Reps!$A:$E,2,FALSE)</f>
        <v>Kiran Bhatt</v>
      </c>
      <c r="S795">
        <f t="shared" si="12"/>
        <v>0.43694581280788175</v>
      </c>
    </row>
    <row r="796" spans="1:19" x14ac:dyDescent="0.3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  <c r="L796" t="str">
        <f>VLOOKUP(D796,Products!$A:$F,3,FALSE)</f>
        <v>Beauty</v>
      </c>
      <c r="M796" t="b">
        <f>VLOOKUP(D796,Products!$A:$F,6,FALSE)</f>
        <v>0</v>
      </c>
      <c r="N796">
        <f>VLOOKUP(D796,Products!$A:$F,4,FALSE)</f>
        <v>647</v>
      </c>
      <c r="O796" t="str">
        <f>VLOOKUP(C796,Customers!$A:$F,5,FALSE)</f>
        <v>Corporate</v>
      </c>
      <c r="P796">
        <f>VLOOKUP(C796,Customers!$A:$F,3,FALSE)</f>
        <v>41</v>
      </c>
      <c r="Q796" t="str">
        <f>VLOOKUP(E796,Sales_Reps!$A:$E,3,FALSE)</f>
        <v>East</v>
      </c>
      <c r="R796" t="str">
        <f>VLOOKUP(E796,Sales_Reps!$A:$E,2,FALSE)</f>
        <v>Prakash Shah</v>
      </c>
      <c r="S796">
        <f t="shared" si="12"/>
        <v>0.57987012987012987</v>
      </c>
    </row>
    <row r="797" spans="1:19" x14ac:dyDescent="0.3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  <c r="L797" t="str">
        <f>VLOOKUP(D797,Products!$A:$F,3,FALSE)</f>
        <v>Home</v>
      </c>
      <c r="M797" t="b">
        <f>VLOOKUP(D797,Products!$A:$F,6,FALSE)</f>
        <v>1</v>
      </c>
      <c r="N797">
        <f>VLOOKUP(D797,Products!$A:$F,4,FALSE)</f>
        <v>1556</v>
      </c>
      <c r="O797" t="str">
        <f>VLOOKUP(C797,Customers!$A:$F,5,FALSE)</f>
        <v>Retail</v>
      </c>
      <c r="P797">
        <f>VLOOKUP(C797,Customers!$A:$F,3,FALSE)</f>
        <v>56</v>
      </c>
      <c r="Q797" t="str">
        <f>VLOOKUP(E797,Sales_Reps!$A:$E,3,FALSE)</f>
        <v>South</v>
      </c>
      <c r="R797" t="str">
        <f>VLOOKUP(E797,Sales_Reps!$A:$E,2,FALSE)</f>
        <v>Deepak Shah</v>
      </c>
      <c r="S797">
        <f t="shared" si="12"/>
        <v>0.52123076923076928</v>
      </c>
    </row>
    <row r="798" spans="1:19" x14ac:dyDescent="0.3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  <c r="L798" t="str">
        <f>VLOOKUP(D798,Products!$A:$F,3,FALSE)</f>
        <v>Beauty</v>
      </c>
      <c r="M798" t="b">
        <f>VLOOKUP(D798,Products!$A:$F,6,FALSE)</f>
        <v>1</v>
      </c>
      <c r="N798">
        <f>VLOOKUP(D798,Products!$A:$F,4,FALSE)</f>
        <v>2420</v>
      </c>
      <c r="O798" t="str">
        <f>VLOOKUP(C798,Customers!$A:$F,5,FALSE)</f>
        <v>SMB</v>
      </c>
      <c r="P798">
        <f>VLOOKUP(C798,Customers!$A:$F,3,FALSE)</f>
        <v>53</v>
      </c>
      <c r="Q798" t="str">
        <f>VLOOKUP(E798,Sales_Reps!$A:$E,3,FALSE)</f>
        <v>North</v>
      </c>
      <c r="R798" t="str">
        <f>VLOOKUP(E798,Sales_Reps!$A:$E,2,FALSE)</f>
        <v>Vikram Patel</v>
      </c>
      <c r="S798">
        <f t="shared" si="12"/>
        <v>0.29855072463768118</v>
      </c>
    </row>
    <row r="799" spans="1:19" x14ac:dyDescent="0.3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  <c r="L799" t="str">
        <f>VLOOKUP(D799,Products!$A:$F,3,FALSE)</f>
        <v>Home</v>
      </c>
      <c r="M799" t="b">
        <f>VLOOKUP(D799,Products!$A:$F,6,FALSE)</f>
        <v>1</v>
      </c>
      <c r="N799">
        <f>VLOOKUP(D799,Products!$A:$F,4,FALSE)</f>
        <v>2549</v>
      </c>
      <c r="O799" t="str">
        <f>VLOOKUP(C799,Customers!$A:$F,5,FALSE)</f>
        <v>Corporate</v>
      </c>
      <c r="P799">
        <f>VLOOKUP(C799,Customers!$A:$F,3,FALSE)</f>
        <v>24</v>
      </c>
      <c r="Q799" t="str">
        <f>VLOOKUP(E799,Sales_Reps!$A:$E,3,FALSE)</f>
        <v>North</v>
      </c>
      <c r="R799" t="str">
        <f>VLOOKUP(E799,Sales_Reps!$A:$E,2,FALSE)</f>
        <v>Kavita Patel</v>
      </c>
      <c r="S799">
        <f t="shared" si="12"/>
        <v>0.53570127504553733</v>
      </c>
    </row>
    <row r="800" spans="1:19" x14ac:dyDescent="0.3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  <c r="L800" t="str">
        <f>VLOOKUP(D800,Products!$A:$F,3,FALSE)</f>
        <v>Home</v>
      </c>
      <c r="M800" t="b">
        <f>VLOOKUP(D800,Products!$A:$F,6,FALSE)</f>
        <v>1</v>
      </c>
      <c r="N800">
        <f>VLOOKUP(D800,Products!$A:$F,4,FALSE)</f>
        <v>288</v>
      </c>
      <c r="O800" t="str">
        <f>VLOOKUP(C800,Customers!$A:$F,5,FALSE)</f>
        <v>Retail</v>
      </c>
      <c r="P800">
        <f>VLOOKUP(C800,Customers!$A:$F,3,FALSE)</f>
        <v>40</v>
      </c>
      <c r="Q800" t="str">
        <f>VLOOKUP(E800,Sales_Reps!$A:$E,3,FALSE)</f>
        <v>West</v>
      </c>
      <c r="R800" t="str">
        <f>VLOOKUP(E800,Sales_Reps!$A:$E,2,FALSE)</f>
        <v>Arun Iyer</v>
      </c>
      <c r="S800">
        <f t="shared" si="12"/>
        <v>0.22162162162162163</v>
      </c>
    </row>
    <row r="801" spans="1:19" x14ac:dyDescent="0.3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  <c r="L801" t="str">
        <f>VLOOKUP(D801,Products!$A:$F,3,FALSE)</f>
        <v>Electronics</v>
      </c>
      <c r="M801" t="b">
        <f>VLOOKUP(D801,Products!$A:$F,6,FALSE)</f>
        <v>1</v>
      </c>
      <c r="N801">
        <f>VLOOKUP(D801,Products!$A:$F,4,FALSE)</f>
        <v>2405</v>
      </c>
      <c r="O801" t="str">
        <f>VLOOKUP(C801,Customers!$A:$F,5,FALSE)</f>
        <v>SMB</v>
      </c>
      <c r="P801">
        <f>VLOOKUP(C801,Customers!$A:$F,3,FALSE)</f>
        <v>53</v>
      </c>
      <c r="Q801" t="str">
        <f>VLOOKUP(E801,Sales_Reps!$A:$E,3,FALSE)</f>
        <v>South</v>
      </c>
      <c r="R801" t="str">
        <f>VLOOKUP(E801,Sales_Reps!$A:$E,2,FALSE)</f>
        <v>Manoj Patel</v>
      </c>
      <c r="S801">
        <f t="shared" si="12"/>
        <v>0.54878048780487809</v>
      </c>
    </row>
    <row r="802" spans="1:19" x14ac:dyDescent="0.3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  <c r="L802" t="str">
        <f>VLOOKUP(D802,Products!$A:$F,3,FALSE)</f>
        <v>Sports</v>
      </c>
      <c r="M802" t="b">
        <f>VLOOKUP(D802,Products!$A:$F,6,FALSE)</f>
        <v>1</v>
      </c>
      <c r="N802">
        <f>VLOOKUP(D802,Products!$A:$F,4,FALSE)</f>
        <v>2467</v>
      </c>
      <c r="O802" t="str">
        <f>VLOOKUP(C802,Customers!$A:$F,5,FALSE)</f>
        <v>Retail</v>
      </c>
      <c r="P802">
        <f>VLOOKUP(C802,Customers!$A:$F,3,FALSE)</f>
        <v>49</v>
      </c>
      <c r="Q802" t="str">
        <f>VLOOKUP(E802,Sales_Reps!$A:$E,3,FALSE)</f>
        <v>South</v>
      </c>
      <c r="R802" t="str">
        <f>VLOOKUP(E802,Sales_Reps!$A:$E,2,FALSE)</f>
        <v>Anjali Chopra</v>
      </c>
      <c r="S802">
        <f t="shared" si="12"/>
        <v>0.28492753623188405</v>
      </c>
    </row>
    <row r="803" spans="1:19" x14ac:dyDescent="0.3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  <c r="L803" t="str">
        <f>VLOOKUP(D803,Products!$A:$F,3,FALSE)</f>
        <v>Apparel</v>
      </c>
      <c r="M803" t="b">
        <f>VLOOKUP(D803,Products!$A:$F,6,FALSE)</f>
        <v>1</v>
      </c>
      <c r="N803">
        <f>VLOOKUP(D803,Products!$A:$F,4,FALSE)</f>
        <v>1748</v>
      </c>
      <c r="O803" t="str">
        <f>VLOOKUP(C803,Customers!$A:$F,5,FALSE)</f>
        <v>Corporate</v>
      </c>
      <c r="P803">
        <f>VLOOKUP(C803,Customers!$A:$F,3,FALSE)</f>
        <v>51</v>
      </c>
      <c r="Q803" t="str">
        <f>VLOOKUP(E803,Sales_Reps!$A:$E,3,FALSE)</f>
        <v>West</v>
      </c>
      <c r="R803" t="str">
        <f>VLOOKUP(E803,Sales_Reps!$A:$E,2,FALSE)</f>
        <v>Ramesh Bhatt</v>
      </c>
      <c r="S803">
        <f t="shared" si="12"/>
        <v>0.49333333333333335</v>
      </c>
    </row>
    <row r="804" spans="1:19" x14ac:dyDescent="0.3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  <c r="L804" t="str">
        <f>VLOOKUP(D804,Products!$A:$F,3,FALSE)</f>
        <v>Beauty</v>
      </c>
      <c r="M804" t="b">
        <f>VLOOKUP(D804,Products!$A:$F,6,FALSE)</f>
        <v>1</v>
      </c>
      <c r="N804">
        <f>VLOOKUP(D804,Products!$A:$F,4,FALSE)</f>
        <v>2617</v>
      </c>
      <c r="O804" t="str">
        <f>VLOOKUP(C804,Customers!$A:$F,5,FALSE)</f>
        <v>Corporate</v>
      </c>
      <c r="P804">
        <f>VLOOKUP(C804,Customers!$A:$F,3,FALSE)</f>
        <v>62</v>
      </c>
      <c r="Q804" t="str">
        <f>VLOOKUP(E804,Sales_Reps!$A:$E,3,FALSE)</f>
        <v>West</v>
      </c>
      <c r="R804" t="str">
        <f>VLOOKUP(E804,Sales_Reps!$A:$E,2,FALSE)</f>
        <v>Arun Iyer</v>
      </c>
      <c r="S804">
        <f t="shared" si="12"/>
        <v>0.56957236842105263</v>
      </c>
    </row>
    <row r="805" spans="1:19" x14ac:dyDescent="0.3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  <c r="L805" t="str">
        <f>VLOOKUP(D805,Products!$A:$F,3,FALSE)</f>
        <v>Apparel</v>
      </c>
      <c r="M805" t="b">
        <f>VLOOKUP(D805,Products!$A:$F,6,FALSE)</f>
        <v>0</v>
      </c>
      <c r="N805">
        <f>VLOOKUP(D805,Products!$A:$F,4,FALSE)</f>
        <v>1075</v>
      </c>
      <c r="O805" t="str">
        <f>VLOOKUP(C805,Customers!$A:$F,5,FALSE)</f>
        <v>SMB</v>
      </c>
      <c r="P805">
        <f>VLOOKUP(C805,Customers!$A:$F,3,FALSE)</f>
        <v>50</v>
      </c>
      <c r="Q805" t="str">
        <f>VLOOKUP(E805,Sales_Reps!$A:$E,3,FALSE)</f>
        <v>South</v>
      </c>
      <c r="R805" t="str">
        <f>VLOOKUP(E805,Sales_Reps!$A:$E,2,FALSE)</f>
        <v>Anil Verma</v>
      </c>
      <c r="S805">
        <f t="shared" si="12"/>
        <v>0.57171314741035861</v>
      </c>
    </row>
    <row r="806" spans="1:19" x14ac:dyDescent="0.3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  <c r="L806" t="str">
        <f>VLOOKUP(D806,Products!$A:$F,3,FALSE)</f>
        <v>Sports</v>
      </c>
      <c r="M806" t="b">
        <f>VLOOKUP(D806,Products!$A:$F,6,FALSE)</f>
        <v>1</v>
      </c>
      <c r="N806">
        <f>VLOOKUP(D806,Products!$A:$F,4,FALSE)</f>
        <v>516</v>
      </c>
      <c r="O806" t="str">
        <f>VLOOKUP(C806,Customers!$A:$F,5,FALSE)</f>
        <v>Retail</v>
      </c>
      <c r="P806">
        <f>VLOOKUP(C806,Customers!$A:$F,3,FALSE)</f>
        <v>54</v>
      </c>
      <c r="Q806" t="str">
        <f>VLOOKUP(E806,Sales_Reps!$A:$E,3,FALSE)</f>
        <v>South</v>
      </c>
      <c r="R806" t="str">
        <f>VLOOKUP(E806,Sales_Reps!$A:$E,2,FALSE)</f>
        <v>Pooja Nair</v>
      </c>
      <c r="S806">
        <f t="shared" si="12"/>
        <v>0.4891089108910891</v>
      </c>
    </row>
    <row r="807" spans="1:19" x14ac:dyDescent="0.3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  <c r="L807" t="str">
        <f>VLOOKUP(D807,Products!$A:$F,3,FALSE)</f>
        <v>Apparel</v>
      </c>
      <c r="M807" t="b">
        <f>VLOOKUP(D807,Products!$A:$F,6,FALSE)</f>
        <v>1</v>
      </c>
      <c r="N807">
        <f>VLOOKUP(D807,Products!$A:$F,4,FALSE)</f>
        <v>2629</v>
      </c>
      <c r="O807" t="str">
        <f>VLOOKUP(C807,Customers!$A:$F,5,FALSE)</f>
        <v>Retail</v>
      </c>
      <c r="P807">
        <f>VLOOKUP(C807,Customers!$A:$F,3,FALSE)</f>
        <v>54</v>
      </c>
      <c r="Q807" t="str">
        <f>VLOOKUP(E807,Sales_Reps!$A:$E,3,FALSE)</f>
        <v>East</v>
      </c>
      <c r="R807" t="str">
        <f>VLOOKUP(E807,Sales_Reps!$A:$E,2,FALSE)</f>
        <v>Vinod Kumar</v>
      </c>
      <c r="S807">
        <f t="shared" si="12"/>
        <v>0.26151685393258428</v>
      </c>
    </row>
    <row r="808" spans="1:19" x14ac:dyDescent="0.3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  <c r="L808" t="str">
        <f>VLOOKUP(D808,Products!$A:$F,3,FALSE)</f>
        <v>Beauty</v>
      </c>
      <c r="M808" t="b">
        <f>VLOOKUP(D808,Products!$A:$F,6,FALSE)</f>
        <v>1</v>
      </c>
      <c r="N808">
        <f>VLOOKUP(D808,Products!$A:$F,4,FALSE)</f>
        <v>1626</v>
      </c>
      <c r="O808" t="str">
        <f>VLOOKUP(C808,Customers!$A:$F,5,FALSE)</f>
        <v>Corporate</v>
      </c>
      <c r="P808">
        <f>VLOOKUP(C808,Customers!$A:$F,3,FALSE)</f>
        <v>43</v>
      </c>
      <c r="Q808" t="str">
        <f>VLOOKUP(E808,Sales_Reps!$A:$E,3,FALSE)</f>
        <v>North</v>
      </c>
      <c r="R808" t="str">
        <f>VLOOKUP(E808,Sales_Reps!$A:$E,2,FALSE)</f>
        <v>Neha Desai</v>
      </c>
      <c r="S808">
        <f t="shared" si="12"/>
        <v>0.46158940397350995</v>
      </c>
    </row>
    <row r="809" spans="1:19" x14ac:dyDescent="0.3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  <c r="L809" t="str">
        <f>VLOOKUP(D809,Products!$A:$F,3,FALSE)</f>
        <v>Grocery</v>
      </c>
      <c r="M809" t="b">
        <f>VLOOKUP(D809,Products!$A:$F,6,FALSE)</f>
        <v>1</v>
      </c>
      <c r="N809">
        <f>VLOOKUP(D809,Products!$A:$F,4,FALSE)</f>
        <v>2027</v>
      </c>
      <c r="O809" t="str">
        <f>VLOOKUP(C809,Customers!$A:$F,5,FALSE)</f>
        <v>Retail</v>
      </c>
      <c r="P809">
        <f>VLOOKUP(C809,Customers!$A:$F,3,FALSE)</f>
        <v>26</v>
      </c>
      <c r="Q809" t="str">
        <f>VLOOKUP(E809,Sales_Reps!$A:$E,3,FALSE)</f>
        <v>East</v>
      </c>
      <c r="R809" t="str">
        <f>VLOOKUP(E809,Sales_Reps!$A:$E,2,FALSE)</f>
        <v>Naveen Singh</v>
      </c>
      <c r="S809">
        <f t="shared" si="12"/>
        <v>0.50196560196560192</v>
      </c>
    </row>
    <row r="810" spans="1:19" x14ac:dyDescent="0.3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  <c r="L810" t="str">
        <f>VLOOKUP(D810,Products!$A:$F,3,FALSE)</f>
        <v>Home</v>
      </c>
      <c r="M810" t="b">
        <f>VLOOKUP(D810,Products!$A:$F,6,FALSE)</f>
        <v>1</v>
      </c>
      <c r="N810">
        <f>VLOOKUP(D810,Products!$A:$F,4,FALSE)</f>
        <v>288</v>
      </c>
      <c r="O810" t="str">
        <f>VLOOKUP(C810,Customers!$A:$F,5,FALSE)</f>
        <v>Retail</v>
      </c>
      <c r="P810">
        <f>VLOOKUP(C810,Customers!$A:$F,3,FALSE)</f>
        <v>29</v>
      </c>
      <c r="Q810" t="str">
        <f>VLOOKUP(E810,Sales_Reps!$A:$E,3,FALSE)</f>
        <v>East</v>
      </c>
      <c r="R810" t="str">
        <f>VLOOKUP(E810,Sales_Reps!$A:$E,2,FALSE)</f>
        <v>Meera Iyer</v>
      </c>
      <c r="S810">
        <f t="shared" si="12"/>
        <v>0.22162162162162163</v>
      </c>
    </row>
    <row r="811" spans="1:19" x14ac:dyDescent="0.3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  <c r="L811" t="str">
        <f>VLOOKUP(D811,Products!$A:$F,3,FALSE)</f>
        <v>Grocery</v>
      </c>
      <c r="M811" t="b">
        <f>VLOOKUP(D811,Products!$A:$F,6,FALSE)</f>
        <v>1</v>
      </c>
      <c r="N811">
        <f>VLOOKUP(D811,Products!$A:$F,4,FALSE)</f>
        <v>434</v>
      </c>
      <c r="O811" t="str">
        <f>VLOOKUP(C811,Customers!$A:$F,5,FALSE)</f>
        <v>SMB</v>
      </c>
      <c r="P811">
        <f>VLOOKUP(C811,Customers!$A:$F,3,FALSE)</f>
        <v>28</v>
      </c>
      <c r="Q811" t="str">
        <f>VLOOKUP(E811,Sales_Reps!$A:$E,3,FALSE)</f>
        <v>East</v>
      </c>
      <c r="R811" t="str">
        <f>VLOOKUP(E811,Sales_Reps!$A:$E,2,FALSE)</f>
        <v>Meera Iyer</v>
      </c>
      <c r="S811">
        <f t="shared" si="12"/>
        <v>0.5525773195876289</v>
      </c>
    </row>
    <row r="812" spans="1:19" x14ac:dyDescent="0.3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  <c r="L812" t="str">
        <f>VLOOKUP(D812,Products!$A:$F,3,FALSE)</f>
        <v>Apparel</v>
      </c>
      <c r="M812" t="b">
        <f>VLOOKUP(D812,Products!$A:$F,6,FALSE)</f>
        <v>1</v>
      </c>
      <c r="N812">
        <f>VLOOKUP(D812,Products!$A:$F,4,FALSE)</f>
        <v>1962</v>
      </c>
      <c r="O812" t="str">
        <f>VLOOKUP(C812,Customers!$A:$F,5,FALSE)</f>
        <v>SMB</v>
      </c>
      <c r="P812">
        <f>VLOOKUP(C812,Customers!$A:$F,3,FALSE)</f>
        <v>60</v>
      </c>
      <c r="Q812" t="str">
        <f>VLOOKUP(E812,Sales_Reps!$A:$E,3,FALSE)</f>
        <v>East</v>
      </c>
      <c r="R812" t="str">
        <f>VLOOKUP(E812,Sales_Reps!$A:$E,2,FALSE)</f>
        <v>Prakash Shah</v>
      </c>
      <c r="S812">
        <f t="shared" si="12"/>
        <v>0.2786764705882353</v>
      </c>
    </row>
    <row r="813" spans="1:19" x14ac:dyDescent="0.3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  <c r="L813" t="str">
        <f>VLOOKUP(D813,Products!$A:$F,3,FALSE)</f>
        <v>Sports</v>
      </c>
      <c r="M813" t="b">
        <f>VLOOKUP(D813,Products!$A:$F,6,FALSE)</f>
        <v>1</v>
      </c>
      <c r="N813">
        <f>VLOOKUP(D813,Products!$A:$F,4,FALSE)</f>
        <v>974</v>
      </c>
      <c r="O813" t="str">
        <f>VLOOKUP(C813,Customers!$A:$F,5,FALSE)</f>
        <v>Corporate</v>
      </c>
      <c r="P813">
        <f>VLOOKUP(C813,Customers!$A:$F,3,FALSE)</f>
        <v>43</v>
      </c>
      <c r="Q813" t="str">
        <f>VLOOKUP(E813,Sales_Reps!$A:$E,3,FALSE)</f>
        <v>South</v>
      </c>
      <c r="R813" t="str">
        <f>VLOOKUP(E813,Sales_Reps!$A:$E,2,FALSE)</f>
        <v>Ritu Menon</v>
      </c>
      <c r="S813">
        <f t="shared" si="12"/>
        <v>0.59416666666666662</v>
      </c>
    </row>
    <row r="814" spans="1:19" x14ac:dyDescent="0.3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  <c r="L814" t="str">
        <f>VLOOKUP(D814,Products!$A:$F,3,FALSE)</f>
        <v>Apparel</v>
      </c>
      <c r="M814" t="b">
        <f>VLOOKUP(D814,Products!$A:$F,6,FALSE)</f>
        <v>1</v>
      </c>
      <c r="N814">
        <f>VLOOKUP(D814,Products!$A:$F,4,FALSE)</f>
        <v>2629</v>
      </c>
      <c r="O814" t="str">
        <f>VLOOKUP(C814,Customers!$A:$F,5,FALSE)</f>
        <v>Retail</v>
      </c>
      <c r="P814">
        <f>VLOOKUP(C814,Customers!$A:$F,3,FALSE)</f>
        <v>65</v>
      </c>
      <c r="Q814" t="str">
        <f>VLOOKUP(E814,Sales_Reps!$A:$E,3,FALSE)</f>
        <v>South</v>
      </c>
      <c r="R814" t="str">
        <f>VLOOKUP(E814,Sales_Reps!$A:$E,2,FALSE)</f>
        <v>Pooja Nair</v>
      </c>
      <c r="S814">
        <f t="shared" si="12"/>
        <v>0.26151685393258428</v>
      </c>
    </row>
    <row r="815" spans="1:19" x14ac:dyDescent="0.3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  <c r="L815" t="str">
        <f>VLOOKUP(D815,Products!$A:$F,3,FALSE)</f>
        <v>Grocery</v>
      </c>
      <c r="M815" t="b">
        <f>VLOOKUP(D815,Products!$A:$F,6,FALSE)</f>
        <v>1</v>
      </c>
      <c r="N815">
        <f>VLOOKUP(D815,Products!$A:$F,4,FALSE)</f>
        <v>2027</v>
      </c>
      <c r="O815" t="str">
        <f>VLOOKUP(C815,Customers!$A:$F,5,FALSE)</f>
        <v>SMB</v>
      </c>
      <c r="P815">
        <f>VLOOKUP(C815,Customers!$A:$F,3,FALSE)</f>
        <v>29</v>
      </c>
      <c r="Q815" t="str">
        <f>VLOOKUP(E815,Sales_Reps!$A:$E,3,FALSE)</f>
        <v>South</v>
      </c>
      <c r="R815" t="str">
        <f>VLOOKUP(E815,Sales_Reps!$A:$E,2,FALSE)</f>
        <v>Deepak Shah</v>
      </c>
      <c r="S815">
        <f t="shared" si="12"/>
        <v>0.50196560196560192</v>
      </c>
    </row>
    <row r="816" spans="1:19" x14ac:dyDescent="0.3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  <c r="L816" t="str">
        <f>VLOOKUP(D816,Products!$A:$F,3,FALSE)</f>
        <v>Sports</v>
      </c>
      <c r="M816" t="b">
        <f>VLOOKUP(D816,Products!$A:$F,6,FALSE)</f>
        <v>1</v>
      </c>
      <c r="N816">
        <f>VLOOKUP(D816,Products!$A:$F,4,FALSE)</f>
        <v>2265</v>
      </c>
      <c r="O816" t="str">
        <f>VLOOKUP(C816,Customers!$A:$F,5,FALSE)</f>
        <v>Retail</v>
      </c>
      <c r="P816">
        <f>VLOOKUP(C816,Customers!$A:$F,3,FALSE)</f>
        <v>53</v>
      </c>
      <c r="Q816" t="str">
        <f>VLOOKUP(E816,Sales_Reps!$A:$E,3,FALSE)</f>
        <v>North</v>
      </c>
      <c r="R816" t="str">
        <f>VLOOKUP(E816,Sales_Reps!$A:$E,2,FALSE)</f>
        <v>Kavita Patel</v>
      </c>
      <c r="S816">
        <f t="shared" si="12"/>
        <v>0.58133086876155271</v>
      </c>
    </row>
    <row r="817" spans="1:19" x14ac:dyDescent="0.3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  <c r="L817" t="str">
        <f>VLOOKUP(D817,Products!$A:$F,3,FALSE)</f>
        <v>Grocery</v>
      </c>
      <c r="M817" t="b">
        <f>VLOOKUP(D817,Products!$A:$F,6,FALSE)</f>
        <v>1</v>
      </c>
      <c r="N817">
        <f>VLOOKUP(D817,Products!$A:$F,4,FALSE)</f>
        <v>1435</v>
      </c>
      <c r="O817" t="str">
        <f>VLOOKUP(C817,Customers!$A:$F,5,FALSE)</f>
        <v>SMB</v>
      </c>
      <c r="P817">
        <f>VLOOKUP(C817,Customers!$A:$F,3,FALSE)</f>
        <v>48</v>
      </c>
      <c r="Q817" t="str">
        <f>VLOOKUP(E817,Sales_Reps!$A:$E,3,FALSE)</f>
        <v>West</v>
      </c>
      <c r="R817" t="str">
        <f>VLOOKUP(E817,Sales_Reps!$A:$E,2,FALSE)</f>
        <v>Preeti Shah</v>
      </c>
      <c r="S817">
        <f t="shared" si="12"/>
        <v>0.48007246376811596</v>
      </c>
    </row>
    <row r="818" spans="1:19" x14ac:dyDescent="0.3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  <c r="L818" t="str">
        <f>VLOOKUP(D818,Products!$A:$F,3,FALSE)</f>
        <v>Home</v>
      </c>
      <c r="M818" t="b">
        <f>VLOOKUP(D818,Products!$A:$F,6,FALSE)</f>
        <v>1</v>
      </c>
      <c r="N818">
        <f>VLOOKUP(D818,Products!$A:$F,4,FALSE)</f>
        <v>2459</v>
      </c>
      <c r="O818" t="str">
        <f>VLOOKUP(C818,Customers!$A:$F,5,FALSE)</f>
        <v>Retail</v>
      </c>
      <c r="P818">
        <f>VLOOKUP(C818,Customers!$A:$F,3,FALSE)</f>
        <v>29</v>
      </c>
      <c r="Q818" t="str">
        <f>VLOOKUP(E818,Sales_Reps!$A:$E,3,FALSE)</f>
        <v>South</v>
      </c>
      <c r="R818" t="str">
        <f>VLOOKUP(E818,Sales_Reps!$A:$E,2,FALSE)</f>
        <v>Sanjay Kapoor</v>
      </c>
      <c r="S818">
        <f t="shared" si="12"/>
        <v>0.51594488188976373</v>
      </c>
    </row>
    <row r="819" spans="1:19" x14ac:dyDescent="0.3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  <c r="L819" t="str">
        <f>VLOOKUP(D819,Products!$A:$F,3,FALSE)</f>
        <v>Home</v>
      </c>
      <c r="M819" t="b">
        <f>VLOOKUP(D819,Products!$A:$F,6,FALSE)</f>
        <v>1</v>
      </c>
      <c r="N819">
        <f>VLOOKUP(D819,Products!$A:$F,4,FALSE)</f>
        <v>464</v>
      </c>
      <c r="O819" t="str">
        <f>VLOOKUP(C819,Customers!$A:$F,5,FALSE)</f>
        <v>Retail</v>
      </c>
      <c r="P819">
        <f>VLOOKUP(C819,Customers!$A:$F,3,FALSE)</f>
        <v>39</v>
      </c>
      <c r="Q819" t="str">
        <f>VLOOKUP(E819,Sales_Reps!$A:$E,3,FALSE)</f>
        <v>East</v>
      </c>
      <c r="R819" t="str">
        <f>VLOOKUP(E819,Sales_Reps!$A:$E,2,FALSE)</f>
        <v>Naveen Singh</v>
      </c>
      <c r="S819">
        <f t="shared" si="12"/>
        <v>0.57431192660550456</v>
      </c>
    </row>
    <row r="820" spans="1:19" x14ac:dyDescent="0.3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  <c r="L820" t="str">
        <f>VLOOKUP(D820,Products!$A:$F,3,FALSE)</f>
        <v>Grocery</v>
      </c>
      <c r="M820" t="b">
        <f>VLOOKUP(D820,Products!$A:$F,6,FALSE)</f>
        <v>1</v>
      </c>
      <c r="N820">
        <f>VLOOKUP(D820,Products!$A:$F,4,FALSE)</f>
        <v>1182</v>
      </c>
      <c r="O820" t="str">
        <f>VLOOKUP(C820,Customers!$A:$F,5,FALSE)</f>
        <v>Corporate</v>
      </c>
      <c r="P820">
        <f>VLOOKUP(C820,Customers!$A:$F,3,FALSE)</f>
        <v>41</v>
      </c>
      <c r="Q820" t="str">
        <f>VLOOKUP(E820,Sales_Reps!$A:$E,3,FALSE)</f>
        <v>West</v>
      </c>
      <c r="R820" t="str">
        <f>VLOOKUP(E820,Sales_Reps!$A:$E,2,FALSE)</f>
        <v>Arun Iyer</v>
      </c>
      <c r="S820">
        <f t="shared" si="12"/>
        <v>0.50336134453781511</v>
      </c>
    </row>
    <row r="821" spans="1:19" x14ac:dyDescent="0.3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  <c r="L821" t="str">
        <f>VLOOKUP(D821,Products!$A:$F,3,FALSE)</f>
        <v>Apparel</v>
      </c>
      <c r="M821" t="b">
        <f>VLOOKUP(D821,Products!$A:$F,6,FALSE)</f>
        <v>1</v>
      </c>
      <c r="N821">
        <f>VLOOKUP(D821,Products!$A:$F,4,FALSE)</f>
        <v>1886</v>
      </c>
      <c r="O821" t="str">
        <f>VLOOKUP(C821,Customers!$A:$F,5,FALSE)</f>
        <v>SMB</v>
      </c>
      <c r="P821">
        <f>VLOOKUP(C821,Customers!$A:$F,3,FALSE)</f>
        <v>43</v>
      </c>
      <c r="Q821" t="str">
        <f>VLOOKUP(E821,Sales_Reps!$A:$E,3,FALSE)</f>
        <v>West</v>
      </c>
      <c r="R821" t="str">
        <f>VLOOKUP(E821,Sales_Reps!$A:$E,2,FALSE)</f>
        <v>Sonia Malhotra</v>
      </c>
      <c r="S821">
        <f t="shared" si="12"/>
        <v>0.4031645569620253</v>
      </c>
    </row>
    <row r="822" spans="1:19" x14ac:dyDescent="0.3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  <c r="L822" t="str">
        <f>VLOOKUP(D822,Products!$A:$F,3,FALSE)</f>
        <v>Sports</v>
      </c>
      <c r="M822" t="b">
        <f>VLOOKUP(D822,Products!$A:$F,6,FALSE)</f>
        <v>1</v>
      </c>
      <c r="N822">
        <f>VLOOKUP(D822,Products!$A:$F,4,FALSE)</f>
        <v>974</v>
      </c>
      <c r="O822" t="str">
        <f>VLOOKUP(C822,Customers!$A:$F,5,FALSE)</f>
        <v>SMB</v>
      </c>
      <c r="P822">
        <f>VLOOKUP(C822,Customers!$A:$F,3,FALSE)</f>
        <v>43</v>
      </c>
      <c r="Q822" t="str">
        <f>VLOOKUP(E822,Sales_Reps!$A:$E,3,FALSE)</f>
        <v>West</v>
      </c>
      <c r="R822" t="str">
        <f>VLOOKUP(E822,Sales_Reps!$A:$E,2,FALSE)</f>
        <v>Arun Iyer</v>
      </c>
      <c r="S822">
        <f t="shared" si="12"/>
        <v>0.59416666666666662</v>
      </c>
    </row>
    <row r="823" spans="1:19" x14ac:dyDescent="0.3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  <c r="L823" t="str">
        <f>VLOOKUP(D823,Products!$A:$F,3,FALSE)</f>
        <v>Electronics</v>
      </c>
      <c r="M823" t="b">
        <f>VLOOKUP(D823,Products!$A:$F,6,FALSE)</f>
        <v>1</v>
      </c>
      <c r="N823">
        <f>VLOOKUP(D823,Products!$A:$F,4,FALSE)</f>
        <v>1052</v>
      </c>
      <c r="O823" t="str">
        <f>VLOOKUP(C823,Customers!$A:$F,5,FALSE)</f>
        <v>Retail</v>
      </c>
      <c r="P823">
        <f>VLOOKUP(C823,Customers!$A:$F,3,FALSE)</f>
        <v>38</v>
      </c>
      <c r="Q823" t="str">
        <f>VLOOKUP(E823,Sales_Reps!$A:$E,3,FALSE)</f>
        <v>East</v>
      </c>
      <c r="R823" t="str">
        <f>VLOOKUP(E823,Sales_Reps!$A:$E,2,FALSE)</f>
        <v>Meera Iyer</v>
      </c>
      <c r="S823">
        <f t="shared" si="12"/>
        <v>0.5953846153846154</v>
      </c>
    </row>
    <row r="824" spans="1:19" x14ac:dyDescent="0.3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  <c r="L824" t="str">
        <f>VLOOKUP(D824,Products!$A:$F,3,FALSE)</f>
        <v>Grocery</v>
      </c>
      <c r="M824" t="b">
        <f>VLOOKUP(D824,Products!$A:$F,6,FALSE)</f>
        <v>1</v>
      </c>
      <c r="N824">
        <f>VLOOKUP(D824,Products!$A:$F,4,FALSE)</f>
        <v>1203</v>
      </c>
      <c r="O824" t="e">
        <f>VLOOKUP(C824,Customers!$A:$F,5,FALSE)</f>
        <v>#N/A</v>
      </c>
      <c r="P824" t="e">
        <f>VLOOKUP(C824,Customers!$A:$F,3,FALSE)</f>
        <v>#N/A</v>
      </c>
      <c r="Q824" t="str">
        <f>VLOOKUP(E824,Sales_Reps!$A:$E,3,FALSE)</f>
        <v>East</v>
      </c>
      <c r="R824" t="str">
        <f>VLOOKUP(E824,Sales_Reps!$A:$E,2,FALSE)</f>
        <v>Vinod Kumar</v>
      </c>
      <c r="S824">
        <f t="shared" si="12"/>
        <v>0.47004405286343615</v>
      </c>
    </row>
    <row r="825" spans="1:19" x14ac:dyDescent="0.3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  <c r="L825" t="str">
        <f>VLOOKUP(D825,Products!$A:$F,3,FALSE)</f>
        <v>Home</v>
      </c>
      <c r="M825" t="b">
        <f>VLOOKUP(D825,Products!$A:$F,6,FALSE)</f>
        <v>1</v>
      </c>
      <c r="N825">
        <f>VLOOKUP(D825,Products!$A:$F,4,FALSE)</f>
        <v>2549</v>
      </c>
      <c r="O825" t="str">
        <f>VLOOKUP(C825,Customers!$A:$F,5,FALSE)</f>
        <v>Corporate</v>
      </c>
      <c r="P825">
        <f>VLOOKUP(C825,Customers!$A:$F,3,FALSE)</f>
        <v>41</v>
      </c>
      <c r="Q825" t="str">
        <f>VLOOKUP(E825,Sales_Reps!$A:$E,3,FALSE)</f>
        <v>East</v>
      </c>
      <c r="R825" t="str">
        <f>VLOOKUP(E825,Sales_Reps!$A:$E,2,FALSE)</f>
        <v>Meera Iyer</v>
      </c>
      <c r="S825">
        <f t="shared" si="12"/>
        <v>0.53570127504553733</v>
      </c>
    </row>
    <row r="826" spans="1:19" x14ac:dyDescent="0.3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  <c r="L826" t="str">
        <f>VLOOKUP(D826,Products!$A:$F,3,FALSE)</f>
        <v>Electronics</v>
      </c>
      <c r="M826" t="b">
        <f>VLOOKUP(D826,Products!$A:$F,6,FALSE)</f>
        <v>1</v>
      </c>
      <c r="N826">
        <f>VLOOKUP(D826,Products!$A:$F,4,FALSE)</f>
        <v>1559</v>
      </c>
      <c r="O826" t="str">
        <f>VLOOKUP(C826,Customers!$A:$F,5,FALSE)</f>
        <v>SMB</v>
      </c>
      <c r="P826">
        <f>VLOOKUP(C826,Customers!$A:$F,3,FALSE)</f>
        <v>35</v>
      </c>
      <c r="Q826" t="str">
        <f>VLOOKUP(E826,Sales_Reps!$A:$E,3,FALSE)</f>
        <v>South</v>
      </c>
      <c r="R826" t="str">
        <f>VLOOKUP(E826,Sales_Reps!$A:$E,2,FALSE)</f>
        <v>Manoj Patel</v>
      </c>
      <c r="S826">
        <f t="shared" si="12"/>
        <v>0.59715762273901807</v>
      </c>
    </row>
    <row r="827" spans="1:19" x14ac:dyDescent="0.3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  <c r="L827" t="str">
        <f>VLOOKUP(D827,Products!$A:$F,3,FALSE)</f>
        <v>Beauty</v>
      </c>
      <c r="M827" t="b">
        <f>VLOOKUP(D827,Products!$A:$F,6,FALSE)</f>
        <v>1</v>
      </c>
      <c r="N827">
        <f>VLOOKUP(D827,Products!$A:$F,4,FALSE)</f>
        <v>675</v>
      </c>
      <c r="O827" t="str">
        <f>VLOOKUP(C827,Customers!$A:$F,5,FALSE)</f>
        <v>Retail</v>
      </c>
      <c r="P827">
        <f>VLOOKUP(C827,Customers!$A:$F,3,FALSE)</f>
        <v>28</v>
      </c>
      <c r="Q827" t="str">
        <f>VLOOKUP(E827,Sales_Reps!$A:$E,3,FALSE)</f>
        <v>West</v>
      </c>
      <c r="R827" t="str">
        <f>VLOOKUP(E827,Sales_Reps!$A:$E,2,FALSE)</f>
        <v>Rekha Chopra</v>
      </c>
      <c r="S827">
        <f t="shared" si="12"/>
        <v>0.296875</v>
      </c>
    </row>
    <row r="828" spans="1:19" x14ac:dyDescent="0.3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  <c r="L828" t="str">
        <f>VLOOKUP(D828,Products!$A:$F,3,FALSE)</f>
        <v>Beauty</v>
      </c>
      <c r="M828" t="b">
        <f>VLOOKUP(D828,Products!$A:$F,6,FALSE)</f>
        <v>1</v>
      </c>
      <c r="N828">
        <f>VLOOKUP(D828,Products!$A:$F,4,FALSE)</f>
        <v>2768</v>
      </c>
      <c r="O828" t="str">
        <f>VLOOKUP(C828,Customers!$A:$F,5,FALSE)</f>
        <v>Retail</v>
      </c>
      <c r="P828">
        <f>VLOOKUP(C828,Customers!$A:$F,3,FALSE)</f>
        <v>37</v>
      </c>
      <c r="Q828" t="str">
        <f>VLOOKUP(E828,Sales_Reps!$A:$E,3,FALSE)</f>
        <v>North</v>
      </c>
      <c r="R828" t="str">
        <f>VLOOKUP(E828,Sales_Reps!$A:$E,2,FALSE)</f>
        <v>Rajesh Malhotra</v>
      </c>
      <c r="S828">
        <f t="shared" si="12"/>
        <v>0.43278688524590164</v>
      </c>
    </row>
    <row r="829" spans="1:19" x14ac:dyDescent="0.3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  <c r="L829" t="str">
        <f>VLOOKUP(D829,Products!$A:$F,3,FALSE)</f>
        <v>Sports</v>
      </c>
      <c r="M829" t="b">
        <f>VLOOKUP(D829,Products!$A:$F,6,FALSE)</f>
        <v>1</v>
      </c>
      <c r="N829">
        <f>VLOOKUP(D829,Products!$A:$F,4,FALSE)</f>
        <v>974</v>
      </c>
      <c r="O829" t="str">
        <f>VLOOKUP(C829,Customers!$A:$F,5,FALSE)</f>
        <v>SMB</v>
      </c>
      <c r="P829">
        <f>VLOOKUP(C829,Customers!$A:$F,3,FALSE)</f>
        <v>27</v>
      </c>
      <c r="Q829" t="str">
        <f>VLOOKUP(E829,Sales_Reps!$A:$E,3,FALSE)</f>
        <v>North</v>
      </c>
      <c r="R829" t="str">
        <f>VLOOKUP(E829,Sales_Reps!$A:$E,2,FALSE)</f>
        <v>Kavita Patel</v>
      </c>
      <c r="S829">
        <f t="shared" si="12"/>
        <v>0.59416666666666662</v>
      </c>
    </row>
    <row r="830" spans="1:19" x14ac:dyDescent="0.3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  <c r="L830" t="str">
        <f>VLOOKUP(D830,Products!$A:$F,3,FALSE)</f>
        <v>Apparel</v>
      </c>
      <c r="M830" t="b">
        <f>VLOOKUP(D830,Products!$A:$F,6,FALSE)</f>
        <v>1</v>
      </c>
      <c r="N830">
        <f>VLOOKUP(D830,Products!$A:$F,4,FALSE)</f>
        <v>396</v>
      </c>
      <c r="O830" t="str">
        <f>VLOOKUP(C830,Customers!$A:$F,5,FALSE)</f>
        <v>SMB</v>
      </c>
      <c r="P830">
        <f>VLOOKUP(C830,Customers!$A:$F,3,FALSE)</f>
        <v>54</v>
      </c>
      <c r="Q830" t="str">
        <f>VLOOKUP(E830,Sales_Reps!$A:$E,3,FALSE)</f>
        <v>South</v>
      </c>
      <c r="R830" t="str">
        <f>VLOOKUP(E830,Sales_Reps!$A:$E,2,FALSE)</f>
        <v>Deepak Shah</v>
      </c>
      <c r="S830">
        <f t="shared" si="12"/>
        <v>0.36129032258064514</v>
      </c>
    </row>
    <row r="831" spans="1:19" x14ac:dyDescent="0.3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  <c r="L831" t="str">
        <f>VLOOKUP(D831,Products!$A:$F,3,FALSE)</f>
        <v>Home</v>
      </c>
      <c r="M831" t="b">
        <f>VLOOKUP(D831,Products!$A:$F,6,FALSE)</f>
        <v>1</v>
      </c>
      <c r="N831">
        <f>VLOOKUP(D831,Products!$A:$F,4,FALSE)</f>
        <v>1850</v>
      </c>
      <c r="O831" t="str">
        <f>VLOOKUP(C831,Customers!$A:$F,5,FALSE)</f>
        <v>Retail</v>
      </c>
      <c r="P831">
        <f>VLOOKUP(C831,Customers!$A:$F,3,FALSE)</f>
        <v>36</v>
      </c>
      <c r="Q831" t="str">
        <f>VLOOKUP(E831,Sales_Reps!$A:$E,3,FALSE)</f>
        <v>South</v>
      </c>
      <c r="R831" t="str">
        <f>VLOOKUP(E831,Sales_Reps!$A:$E,2,FALSE)</f>
        <v>Sanjay Kapoor</v>
      </c>
      <c r="S831">
        <f t="shared" si="12"/>
        <v>0.59869848156182215</v>
      </c>
    </row>
    <row r="832" spans="1:19" x14ac:dyDescent="0.3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  <c r="L832" t="str">
        <f>VLOOKUP(D832,Products!$A:$F,3,FALSE)</f>
        <v>Home</v>
      </c>
      <c r="M832" t="b">
        <f>VLOOKUP(D832,Products!$A:$F,6,FALSE)</f>
        <v>1</v>
      </c>
      <c r="N832">
        <f>VLOOKUP(D832,Products!$A:$F,4,FALSE)</f>
        <v>1850</v>
      </c>
      <c r="O832" t="str">
        <f>VLOOKUP(C832,Customers!$A:$F,5,FALSE)</f>
        <v>SMB</v>
      </c>
      <c r="P832">
        <f>VLOOKUP(C832,Customers!$A:$F,3,FALSE)</f>
        <v>51</v>
      </c>
      <c r="Q832" t="str">
        <f>VLOOKUP(E832,Sales_Reps!$A:$E,3,FALSE)</f>
        <v>South</v>
      </c>
      <c r="R832" t="str">
        <f>VLOOKUP(E832,Sales_Reps!$A:$E,2,FALSE)</f>
        <v>Ritu Menon</v>
      </c>
      <c r="S832">
        <f t="shared" si="12"/>
        <v>0.59869848156182215</v>
      </c>
    </row>
    <row r="833" spans="1:19" x14ac:dyDescent="0.3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  <c r="L833" t="str">
        <f>VLOOKUP(D833,Products!$A:$F,3,FALSE)</f>
        <v>Grocery</v>
      </c>
      <c r="M833" t="b">
        <f>VLOOKUP(D833,Products!$A:$F,6,FALSE)</f>
        <v>1</v>
      </c>
      <c r="N833">
        <f>VLOOKUP(D833,Products!$A:$F,4,FALSE)</f>
        <v>434</v>
      </c>
      <c r="O833" t="str">
        <f>VLOOKUP(C833,Customers!$A:$F,5,FALSE)</f>
        <v>SMB</v>
      </c>
      <c r="P833">
        <f>VLOOKUP(C833,Customers!$A:$F,3,FALSE)</f>
        <v>31</v>
      </c>
      <c r="Q833" t="str">
        <f>VLOOKUP(E833,Sales_Reps!$A:$E,3,FALSE)</f>
        <v>West</v>
      </c>
      <c r="R833" t="str">
        <f>VLOOKUP(E833,Sales_Reps!$A:$E,2,FALSE)</f>
        <v>Arun Iyer</v>
      </c>
      <c r="S833">
        <f t="shared" si="12"/>
        <v>0.5525773195876289</v>
      </c>
    </row>
    <row r="834" spans="1:19" x14ac:dyDescent="0.3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  <c r="L834" t="str">
        <f>VLOOKUP(D834,Products!$A:$F,3,FALSE)</f>
        <v>Electronics</v>
      </c>
      <c r="M834" t="b">
        <f>VLOOKUP(D834,Products!$A:$F,6,FALSE)</f>
        <v>1</v>
      </c>
      <c r="N834">
        <f>VLOOKUP(D834,Products!$A:$F,4,FALSE)</f>
        <v>861</v>
      </c>
      <c r="O834" t="str">
        <f>VLOOKUP(C834,Customers!$A:$F,5,FALSE)</f>
        <v>Corporate</v>
      </c>
      <c r="P834">
        <f>VLOOKUP(C834,Customers!$A:$F,3,FALSE)</f>
        <v>35</v>
      </c>
      <c r="Q834" t="str">
        <f>VLOOKUP(E834,Sales_Reps!$A:$E,3,FALSE)</f>
        <v>West</v>
      </c>
      <c r="R834" t="str">
        <f>VLOOKUP(E834,Sales_Reps!$A:$E,2,FALSE)</f>
        <v>Sonia Malhotra</v>
      </c>
      <c r="S834">
        <f t="shared" si="12"/>
        <v>0.39790209790209791</v>
      </c>
    </row>
    <row r="835" spans="1:19" x14ac:dyDescent="0.3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  <c r="L835" t="str">
        <f>VLOOKUP(D835,Products!$A:$F,3,FALSE)</f>
        <v>Grocery</v>
      </c>
      <c r="M835" t="b">
        <f>VLOOKUP(D835,Products!$A:$F,6,FALSE)</f>
        <v>1</v>
      </c>
      <c r="N835">
        <f>VLOOKUP(D835,Products!$A:$F,4,FALSE)</f>
        <v>2436</v>
      </c>
      <c r="O835" t="str">
        <f>VLOOKUP(C835,Customers!$A:$F,5,FALSE)</f>
        <v>SMB</v>
      </c>
      <c r="P835">
        <f>VLOOKUP(C835,Customers!$A:$F,3,FALSE)</f>
        <v>50</v>
      </c>
      <c r="Q835" t="str">
        <f>VLOOKUP(E835,Sales_Reps!$A:$E,3,FALSE)</f>
        <v>South</v>
      </c>
      <c r="R835" t="str">
        <f>VLOOKUP(E835,Sales_Reps!$A:$E,2,FALSE)</f>
        <v>Anil Verma</v>
      </c>
      <c r="S835">
        <f t="shared" ref="S835:S898" si="13">IFERROR((G835-N835)/G835,"")</f>
        <v>0.35555555555555557</v>
      </c>
    </row>
    <row r="836" spans="1:19" x14ac:dyDescent="0.3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  <c r="L836" t="str">
        <f>VLOOKUP(D836,Products!$A:$F,3,FALSE)</f>
        <v>Beauty</v>
      </c>
      <c r="M836" t="b">
        <f>VLOOKUP(D836,Products!$A:$F,6,FALSE)</f>
        <v>0</v>
      </c>
      <c r="N836">
        <f>VLOOKUP(D836,Products!$A:$F,4,FALSE)</f>
        <v>647</v>
      </c>
      <c r="O836" t="str">
        <f>VLOOKUP(C836,Customers!$A:$F,5,FALSE)</f>
        <v>SMB</v>
      </c>
      <c r="P836">
        <f>VLOOKUP(C836,Customers!$A:$F,3,FALSE)</f>
        <v>65</v>
      </c>
      <c r="Q836" t="str">
        <f>VLOOKUP(E836,Sales_Reps!$A:$E,3,FALSE)</f>
        <v>East</v>
      </c>
      <c r="R836" t="str">
        <f>VLOOKUP(E836,Sales_Reps!$A:$E,2,FALSE)</f>
        <v>Vinod Kumar</v>
      </c>
      <c r="S836">
        <f t="shared" si="13"/>
        <v>0.57987012987012987</v>
      </c>
    </row>
    <row r="837" spans="1:19" x14ac:dyDescent="0.3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  <c r="L837" t="str">
        <f>VLOOKUP(D837,Products!$A:$F,3,FALSE)</f>
        <v>Home</v>
      </c>
      <c r="M837" t="b">
        <f>VLOOKUP(D837,Products!$A:$F,6,FALSE)</f>
        <v>1</v>
      </c>
      <c r="N837">
        <f>VLOOKUP(D837,Products!$A:$F,4,FALSE)</f>
        <v>519</v>
      </c>
      <c r="O837" t="str">
        <f>VLOOKUP(C837,Customers!$A:$F,5,FALSE)</f>
        <v>Retail</v>
      </c>
      <c r="P837">
        <f>VLOOKUP(C837,Customers!$A:$F,3,FALSE)</f>
        <v>39</v>
      </c>
      <c r="Q837" t="str">
        <f>VLOOKUP(E837,Sales_Reps!$A:$E,3,FALSE)</f>
        <v>East</v>
      </c>
      <c r="R837" t="str">
        <f>VLOOKUP(E837,Sales_Reps!$A:$E,2,FALSE)</f>
        <v>Meera Iyer</v>
      </c>
      <c r="S837">
        <f t="shared" si="13"/>
        <v>0.51944444444444449</v>
      </c>
    </row>
    <row r="838" spans="1:19" x14ac:dyDescent="0.3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  <c r="L838" t="str">
        <f>VLOOKUP(D838,Products!$A:$F,3,FALSE)</f>
        <v>Sports</v>
      </c>
      <c r="M838" t="b">
        <f>VLOOKUP(D838,Products!$A:$F,6,FALSE)</f>
        <v>1</v>
      </c>
      <c r="N838">
        <f>VLOOKUP(D838,Products!$A:$F,4,FALSE)</f>
        <v>974</v>
      </c>
      <c r="O838" t="str">
        <f>VLOOKUP(C838,Customers!$A:$F,5,FALSE)</f>
        <v>Retail</v>
      </c>
      <c r="P838">
        <f>VLOOKUP(C838,Customers!$A:$F,3,FALSE)</f>
        <v>65</v>
      </c>
      <c r="Q838" t="str">
        <f>VLOOKUP(E838,Sales_Reps!$A:$E,3,FALSE)</f>
        <v>North</v>
      </c>
      <c r="R838" t="str">
        <f>VLOOKUP(E838,Sales_Reps!$A:$E,2,FALSE)</f>
        <v>Suresh Menon</v>
      </c>
      <c r="S838">
        <f t="shared" si="13"/>
        <v>0.59416666666666662</v>
      </c>
    </row>
    <row r="839" spans="1:19" x14ac:dyDescent="0.3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  <c r="L839" t="str">
        <f>VLOOKUP(D839,Products!$A:$F,3,FALSE)</f>
        <v>Home</v>
      </c>
      <c r="M839" t="b">
        <f>VLOOKUP(D839,Products!$A:$F,6,FALSE)</f>
        <v>1</v>
      </c>
      <c r="N839">
        <f>VLOOKUP(D839,Products!$A:$F,4,FALSE)</f>
        <v>519</v>
      </c>
      <c r="O839" t="str">
        <f>VLOOKUP(C839,Customers!$A:$F,5,FALSE)</f>
        <v>SMB</v>
      </c>
      <c r="P839">
        <f>VLOOKUP(C839,Customers!$A:$F,3,FALSE)</f>
        <v>46</v>
      </c>
      <c r="Q839" t="str">
        <f>VLOOKUP(E839,Sales_Reps!$A:$E,3,FALSE)</f>
        <v>East</v>
      </c>
      <c r="R839" t="str">
        <f>VLOOKUP(E839,Sales_Reps!$A:$E,2,FALSE)</f>
        <v>Shalini Patel</v>
      </c>
      <c r="S839">
        <f t="shared" si="13"/>
        <v>0.51944444444444449</v>
      </c>
    </row>
    <row r="840" spans="1:19" x14ac:dyDescent="0.3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  <c r="L840" t="str">
        <f>VLOOKUP(D840,Products!$A:$F,3,FALSE)</f>
        <v>Grocery</v>
      </c>
      <c r="M840" t="b">
        <f>VLOOKUP(D840,Products!$A:$F,6,FALSE)</f>
        <v>1</v>
      </c>
      <c r="N840">
        <f>VLOOKUP(D840,Products!$A:$F,4,FALSE)</f>
        <v>1203</v>
      </c>
      <c r="O840" t="str">
        <f>VLOOKUP(C840,Customers!$A:$F,5,FALSE)</f>
        <v>SMB</v>
      </c>
      <c r="P840">
        <f>VLOOKUP(C840,Customers!$A:$F,3,FALSE)</f>
        <v>51</v>
      </c>
      <c r="Q840" t="str">
        <f>VLOOKUP(E840,Sales_Reps!$A:$E,3,FALSE)</f>
        <v>West</v>
      </c>
      <c r="R840" t="str">
        <f>VLOOKUP(E840,Sales_Reps!$A:$E,2,FALSE)</f>
        <v>Ramesh Bhatt</v>
      </c>
      <c r="S840">
        <f t="shared" si="13"/>
        <v>0.47004405286343615</v>
      </c>
    </row>
    <row r="841" spans="1:19" x14ac:dyDescent="0.3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  <c r="L841" t="str">
        <f>VLOOKUP(D841,Products!$A:$F,3,FALSE)</f>
        <v>Grocery</v>
      </c>
      <c r="M841" t="b">
        <f>VLOOKUP(D841,Products!$A:$F,6,FALSE)</f>
        <v>0</v>
      </c>
      <c r="N841">
        <f>VLOOKUP(D841,Products!$A:$F,4,FALSE)</f>
        <v>2214</v>
      </c>
      <c r="O841" t="str">
        <f>VLOOKUP(C841,Customers!$A:$F,5,FALSE)</f>
        <v>SMB</v>
      </c>
      <c r="P841">
        <f>VLOOKUP(C841,Customers!$A:$F,3,FALSE)</f>
        <v>27</v>
      </c>
      <c r="Q841" t="str">
        <f>VLOOKUP(E841,Sales_Reps!$A:$E,3,FALSE)</f>
        <v>West</v>
      </c>
      <c r="R841" t="str">
        <f>VLOOKUP(E841,Sales_Reps!$A:$E,2,FALSE)</f>
        <v>Sonia Malhotra</v>
      </c>
      <c r="S841">
        <f t="shared" si="13"/>
        <v>0.39508196721311473</v>
      </c>
    </row>
    <row r="842" spans="1:19" x14ac:dyDescent="0.3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  <c r="L842" t="str">
        <f>VLOOKUP(D842,Products!$A:$F,3,FALSE)</f>
        <v>Home</v>
      </c>
      <c r="M842" t="b">
        <f>VLOOKUP(D842,Products!$A:$F,6,FALSE)</f>
        <v>1</v>
      </c>
      <c r="N842">
        <f>VLOOKUP(D842,Products!$A:$F,4,FALSE)</f>
        <v>1556</v>
      </c>
      <c r="O842" t="str">
        <f>VLOOKUP(C842,Customers!$A:$F,5,FALSE)</f>
        <v>SMB</v>
      </c>
      <c r="P842">
        <f>VLOOKUP(C842,Customers!$A:$F,3,FALSE)</f>
        <v>48</v>
      </c>
      <c r="Q842" t="str">
        <f>VLOOKUP(E842,Sales_Reps!$A:$E,3,FALSE)</f>
        <v>North</v>
      </c>
      <c r="R842" t="str">
        <f>VLOOKUP(E842,Sales_Reps!$A:$E,2,FALSE)</f>
        <v>Amit Singh</v>
      </c>
      <c r="S842">
        <f t="shared" si="13"/>
        <v>0.52123076923076928</v>
      </c>
    </row>
    <row r="843" spans="1:19" x14ac:dyDescent="0.3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  <c r="L843" t="str">
        <f>VLOOKUP(D843,Products!$A:$F,3,FALSE)</f>
        <v>Beauty</v>
      </c>
      <c r="M843" t="b">
        <f>VLOOKUP(D843,Products!$A:$F,6,FALSE)</f>
        <v>1</v>
      </c>
      <c r="N843">
        <f>VLOOKUP(D843,Products!$A:$F,4,FALSE)</f>
        <v>1222</v>
      </c>
      <c r="O843" t="str">
        <f>VLOOKUP(C843,Customers!$A:$F,5,FALSE)</f>
        <v>SMB</v>
      </c>
      <c r="P843">
        <f>VLOOKUP(C843,Customers!$A:$F,3,FALSE)</f>
        <v>24</v>
      </c>
      <c r="Q843" t="str">
        <f>VLOOKUP(E843,Sales_Reps!$A:$E,3,FALSE)</f>
        <v>South</v>
      </c>
      <c r="R843" t="str">
        <f>VLOOKUP(E843,Sales_Reps!$A:$E,2,FALSE)</f>
        <v>Pooja Nair</v>
      </c>
      <c r="S843">
        <f t="shared" si="13"/>
        <v>0.2593939393939394</v>
      </c>
    </row>
    <row r="844" spans="1:19" x14ac:dyDescent="0.3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  <c r="L844" t="str">
        <f>VLOOKUP(D844,Products!$A:$F,3,FALSE)</f>
        <v>Home</v>
      </c>
      <c r="M844" t="b">
        <f>VLOOKUP(D844,Products!$A:$F,6,FALSE)</f>
        <v>1</v>
      </c>
      <c r="N844">
        <f>VLOOKUP(D844,Products!$A:$F,4,FALSE)</f>
        <v>2459</v>
      </c>
      <c r="O844" t="str">
        <f>VLOOKUP(C844,Customers!$A:$F,5,FALSE)</f>
        <v>SMB</v>
      </c>
      <c r="P844">
        <f>VLOOKUP(C844,Customers!$A:$F,3,FALSE)</f>
        <v>43</v>
      </c>
      <c r="Q844" t="str">
        <f>VLOOKUP(E844,Sales_Reps!$A:$E,3,FALSE)</f>
        <v>North</v>
      </c>
      <c r="R844" t="str">
        <f>VLOOKUP(E844,Sales_Reps!$A:$E,2,FALSE)</f>
        <v>Amit Singh</v>
      </c>
      <c r="S844">
        <f t="shared" si="13"/>
        <v>0.51594488188976373</v>
      </c>
    </row>
    <row r="845" spans="1:19" x14ac:dyDescent="0.3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  <c r="L845" t="str">
        <f>VLOOKUP(D845,Products!$A:$F,3,FALSE)</f>
        <v>Sports</v>
      </c>
      <c r="M845" t="b">
        <f>VLOOKUP(D845,Products!$A:$F,6,FALSE)</f>
        <v>1</v>
      </c>
      <c r="N845">
        <f>VLOOKUP(D845,Products!$A:$F,4,FALSE)</f>
        <v>2467</v>
      </c>
      <c r="O845" t="str">
        <f>VLOOKUP(C845,Customers!$A:$F,5,FALSE)</f>
        <v>Retail</v>
      </c>
      <c r="P845">
        <f>VLOOKUP(C845,Customers!$A:$F,3,FALSE)</f>
        <v>61</v>
      </c>
      <c r="Q845" t="str">
        <f>VLOOKUP(E845,Sales_Reps!$A:$E,3,FALSE)</f>
        <v>West</v>
      </c>
      <c r="R845" t="str">
        <f>VLOOKUP(E845,Sales_Reps!$A:$E,2,FALSE)</f>
        <v>Ramesh Bhatt</v>
      </c>
      <c r="S845">
        <f t="shared" si="13"/>
        <v>0.28492753623188405</v>
      </c>
    </row>
    <row r="846" spans="1:19" x14ac:dyDescent="0.3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  <c r="L846" t="str">
        <f>VLOOKUP(D846,Products!$A:$F,3,FALSE)</f>
        <v>Beauty</v>
      </c>
      <c r="M846" t="b">
        <f>VLOOKUP(D846,Products!$A:$F,6,FALSE)</f>
        <v>1</v>
      </c>
      <c r="N846">
        <f>VLOOKUP(D846,Products!$A:$F,4,FALSE)</f>
        <v>1728</v>
      </c>
      <c r="O846" t="str">
        <f>VLOOKUP(C846,Customers!$A:$F,5,FALSE)</f>
        <v>Retail</v>
      </c>
      <c r="P846">
        <f>VLOOKUP(C846,Customers!$A:$F,3,FALSE)</f>
        <v>41</v>
      </c>
      <c r="Q846" t="str">
        <f>VLOOKUP(E846,Sales_Reps!$A:$E,3,FALSE)</f>
        <v>East</v>
      </c>
      <c r="R846" t="str">
        <f>VLOOKUP(E846,Sales_Reps!$A:$E,2,FALSE)</f>
        <v>Shalini Patel</v>
      </c>
      <c r="S846">
        <f t="shared" si="13"/>
        <v>0.48417910447761192</v>
      </c>
    </row>
    <row r="847" spans="1:19" x14ac:dyDescent="0.3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  <c r="L847" t="str">
        <f>VLOOKUP(D847,Products!$A:$F,3,FALSE)</f>
        <v>Grocery</v>
      </c>
      <c r="M847" t="b">
        <f>VLOOKUP(D847,Products!$A:$F,6,FALSE)</f>
        <v>1</v>
      </c>
      <c r="N847">
        <f>VLOOKUP(D847,Products!$A:$F,4,FALSE)</f>
        <v>1010</v>
      </c>
      <c r="O847" t="str">
        <f>VLOOKUP(C847,Customers!$A:$F,5,FALSE)</f>
        <v>Retail</v>
      </c>
      <c r="P847">
        <f>VLOOKUP(C847,Customers!$A:$F,3,FALSE)</f>
        <v>31</v>
      </c>
      <c r="Q847" t="str">
        <f>VLOOKUP(E847,Sales_Reps!$A:$E,3,FALSE)</f>
        <v>West</v>
      </c>
      <c r="R847" t="str">
        <f>VLOOKUP(E847,Sales_Reps!$A:$E,2,FALSE)</f>
        <v>Ramesh Bhatt</v>
      </c>
      <c r="S847">
        <f t="shared" si="13"/>
        <v>0.54298642533936647</v>
      </c>
    </row>
    <row r="848" spans="1:19" x14ac:dyDescent="0.3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  <c r="L848" t="str">
        <f>VLOOKUP(D848,Products!$A:$F,3,FALSE)</f>
        <v>Beauty</v>
      </c>
      <c r="M848" t="b">
        <f>VLOOKUP(D848,Products!$A:$F,6,FALSE)</f>
        <v>1</v>
      </c>
      <c r="N848">
        <f>VLOOKUP(D848,Products!$A:$F,4,FALSE)</f>
        <v>2768</v>
      </c>
      <c r="O848" t="str">
        <f>VLOOKUP(C848,Customers!$A:$F,5,FALSE)</f>
        <v>Retail</v>
      </c>
      <c r="P848">
        <f>VLOOKUP(C848,Customers!$A:$F,3,FALSE)</f>
        <v>43</v>
      </c>
      <c r="Q848" t="str">
        <f>VLOOKUP(E848,Sales_Reps!$A:$E,3,FALSE)</f>
        <v>North</v>
      </c>
      <c r="R848" t="str">
        <f>VLOOKUP(E848,Sales_Reps!$A:$E,2,FALSE)</f>
        <v>Neha Desai</v>
      </c>
      <c r="S848">
        <f t="shared" si="13"/>
        <v>0.43278688524590164</v>
      </c>
    </row>
    <row r="849" spans="1:19" x14ac:dyDescent="0.3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  <c r="L849" t="str">
        <f>VLOOKUP(D849,Products!$A:$F,3,FALSE)</f>
        <v>Sports</v>
      </c>
      <c r="M849" t="b">
        <f>VLOOKUP(D849,Products!$A:$F,6,FALSE)</f>
        <v>1</v>
      </c>
      <c r="N849">
        <f>VLOOKUP(D849,Products!$A:$F,4,FALSE)</f>
        <v>2028</v>
      </c>
      <c r="O849" t="str">
        <f>VLOOKUP(C849,Customers!$A:$F,5,FALSE)</f>
        <v>Retail</v>
      </c>
      <c r="P849">
        <f>VLOOKUP(C849,Customers!$A:$F,3,FALSE)</f>
        <v>49</v>
      </c>
      <c r="Q849" t="str">
        <f>VLOOKUP(E849,Sales_Reps!$A:$E,3,FALSE)</f>
        <v>North</v>
      </c>
      <c r="R849" t="str">
        <f>VLOOKUP(E849,Sales_Reps!$A:$E,2,FALSE)</f>
        <v>Priya Singh</v>
      </c>
      <c r="S849">
        <f t="shared" si="13"/>
        <v>0.29090909090909089</v>
      </c>
    </row>
    <row r="850" spans="1:19" x14ac:dyDescent="0.3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  <c r="L850" t="str">
        <f>VLOOKUP(D850,Products!$A:$F,3,FALSE)</f>
        <v>Grocery</v>
      </c>
      <c r="M850" t="b">
        <f>VLOOKUP(D850,Products!$A:$F,6,FALSE)</f>
        <v>1</v>
      </c>
      <c r="N850">
        <f>VLOOKUP(D850,Products!$A:$F,4,FALSE)</f>
        <v>434</v>
      </c>
      <c r="O850" t="str">
        <f>VLOOKUP(C850,Customers!$A:$F,5,FALSE)</f>
        <v>Retail</v>
      </c>
      <c r="P850">
        <f>VLOOKUP(C850,Customers!$A:$F,3,FALSE)</f>
        <v>65</v>
      </c>
      <c r="Q850" t="str">
        <f>VLOOKUP(E850,Sales_Reps!$A:$E,3,FALSE)</f>
        <v>North</v>
      </c>
      <c r="R850" t="str">
        <f>VLOOKUP(E850,Sales_Reps!$A:$E,2,FALSE)</f>
        <v>Vikram Patel</v>
      </c>
      <c r="S850">
        <f t="shared" si="13"/>
        <v>0.5525773195876289</v>
      </c>
    </row>
    <row r="851" spans="1:19" x14ac:dyDescent="0.3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  <c r="L851" t="str">
        <f>VLOOKUP(D851,Products!$A:$F,3,FALSE)</f>
        <v>Grocery</v>
      </c>
      <c r="M851" t="b">
        <f>VLOOKUP(D851,Products!$A:$F,6,FALSE)</f>
        <v>1</v>
      </c>
      <c r="N851">
        <f>VLOOKUP(D851,Products!$A:$F,4,FALSE)</f>
        <v>1412</v>
      </c>
      <c r="O851" t="str">
        <f>VLOOKUP(C851,Customers!$A:$F,5,FALSE)</f>
        <v>Corporate</v>
      </c>
      <c r="P851">
        <f>VLOOKUP(C851,Customers!$A:$F,3,FALSE)</f>
        <v>29</v>
      </c>
      <c r="Q851" t="str">
        <f>VLOOKUP(E851,Sales_Reps!$A:$E,3,FALSE)</f>
        <v>North</v>
      </c>
      <c r="R851" t="str">
        <f>VLOOKUP(E851,Sales_Reps!$A:$E,2,FALSE)</f>
        <v>Kavita Patel</v>
      </c>
      <c r="S851">
        <f t="shared" si="13"/>
        <v>0.37797356828193834</v>
      </c>
    </row>
    <row r="852" spans="1:19" x14ac:dyDescent="0.3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  <c r="L852" t="str">
        <f>VLOOKUP(D852,Products!$A:$F,3,FALSE)</f>
        <v>Apparel</v>
      </c>
      <c r="M852" t="b">
        <f>VLOOKUP(D852,Products!$A:$F,6,FALSE)</f>
        <v>1</v>
      </c>
      <c r="N852">
        <f>VLOOKUP(D852,Products!$A:$F,4,FALSE)</f>
        <v>2629</v>
      </c>
      <c r="O852" t="str">
        <f>VLOOKUP(C852,Customers!$A:$F,5,FALSE)</f>
        <v>SMB</v>
      </c>
      <c r="P852">
        <f>VLOOKUP(C852,Customers!$A:$F,3,FALSE)</f>
        <v>62</v>
      </c>
      <c r="Q852" t="str">
        <f>VLOOKUP(E852,Sales_Reps!$A:$E,3,FALSE)</f>
        <v>South</v>
      </c>
      <c r="R852" t="str">
        <f>VLOOKUP(E852,Sales_Reps!$A:$E,2,FALSE)</f>
        <v>Deepak Shah</v>
      </c>
      <c r="S852">
        <f t="shared" si="13"/>
        <v>0.26151685393258428</v>
      </c>
    </row>
    <row r="853" spans="1:19" x14ac:dyDescent="0.3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  <c r="L853" t="str">
        <f>VLOOKUP(D853,Products!$A:$F,3,FALSE)</f>
        <v>Sports</v>
      </c>
      <c r="M853" t="b">
        <f>VLOOKUP(D853,Products!$A:$F,6,FALSE)</f>
        <v>1</v>
      </c>
      <c r="N853">
        <f>VLOOKUP(D853,Products!$A:$F,4,FALSE)</f>
        <v>2265</v>
      </c>
      <c r="O853" t="str">
        <f>VLOOKUP(C853,Customers!$A:$F,5,FALSE)</f>
        <v>Corporate</v>
      </c>
      <c r="P853">
        <f>VLOOKUP(C853,Customers!$A:$F,3,FALSE)</f>
        <v>55</v>
      </c>
      <c r="Q853" t="str">
        <f>VLOOKUP(E853,Sales_Reps!$A:$E,3,FALSE)</f>
        <v>South</v>
      </c>
      <c r="R853" t="str">
        <f>VLOOKUP(E853,Sales_Reps!$A:$E,2,FALSE)</f>
        <v>Divya Rao</v>
      </c>
      <c r="S853">
        <f t="shared" si="13"/>
        <v>0.58133086876155271</v>
      </c>
    </row>
    <row r="854" spans="1:19" x14ac:dyDescent="0.3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  <c r="L854" t="str">
        <f>VLOOKUP(D854,Products!$A:$F,3,FALSE)</f>
        <v>Apparel</v>
      </c>
      <c r="M854" t="b">
        <f>VLOOKUP(D854,Products!$A:$F,6,FALSE)</f>
        <v>1</v>
      </c>
      <c r="N854">
        <f>VLOOKUP(D854,Products!$A:$F,4,FALSE)</f>
        <v>1173</v>
      </c>
      <c r="O854" t="str">
        <f>VLOOKUP(C854,Customers!$A:$F,5,FALSE)</f>
        <v>Retail</v>
      </c>
      <c r="P854">
        <f>VLOOKUP(C854,Customers!$A:$F,3,FALSE)</f>
        <v>28</v>
      </c>
      <c r="Q854" t="str">
        <f>VLOOKUP(E854,Sales_Reps!$A:$E,3,FALSE)</f>
        <v>North</v>
      </c>
      <c r="R854" t="str">
        <f>VLOOKUP(E854,Sales_Reps!$A:$E,2,FALSE)</f>
        <v>Neha Desai</v>
      </c>
      <c r="S854">
        <f t="shared" si="13"/>
        <v>0.52701612903225803</v>
      </c>
    </row>
    <row r="855" spans="1:19" x14ac:dyDescent="0.3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  <c r="L855" t="str">
        <f>VLOOKUP(D855,Products!$A:$F,3,FALSE)</f>
        <v>Apparel</v>
      </c>
      <c r="M855" t="b">
        <f>VLOOKUP(D855,Products!$A:$F,6,FALSE)</f>
        <v>1</v>
      </c>
      <c r="N855">
        <f>VLOOKUP(D855,Products!$A:$F,4,FALSE)</f>
        <v>391</v>
      </c>
      <c r="O855" t="str">
        <f>VLOOKUP(C855,Customers!$A:$F,5,FALSE)</f>
        <v>Retail</v>
      </c>
      <c r="P855">
        <f>VLOOKUP(C855,Customers!$A:$F,3,FALSE)</f>
        <v>45</v>
      </c>
      <c r="Q855" t="str">
        <f>VLOOKUP(E855,Sales_Reps!$A:$E,3,FALSE)</f>
        <v>South</v>
      </c>
      <c r="R855" t="str">
        <f>VLOOKUP(E855,Sales_Reps!$A:$E,2,FALSE)</f>
        <v>Ritu Menon</v>
      </c>
      <c r="S855">
        <f t="shared" si="13"/>
        <v>0.52317073170731709</v>
      </c>
    </row>
    <row r="856" spans="1:19" x14ac:dyDescent="0.3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  <c r="L856" t="str">
        <f>VLOOKUP(D856,Products!$A:$F,3,FALSE)</f>
        <v>Electronics</v>
      </c>
      <c r="M856" t="b">
        <f>VLOOKUP(D856,Products!$A:$F,6,FALSE)</f>
        <v>1</v>
      </c>
      <c r="N856">
        <f>VLOOKUP(D856,Products!$A:$F,4,FALSE)</f>
        <v>2405</v>
      </c>
      <c r="O856" t="str">
        <f>VLOOKUP(C856,Customers!$A:$F,5,FALSE)</f>
        <v>Retail</v>
      </c>
      <c r="P856">
        <f>VLOOKUP(C856,Customers!$A:$F,3,FALSE)</f>
        <v>34</v>
      </c>
      <c r="Q856" t="str">
        <f>VLOOKUP(E856,Sales_Reps!$A:$E,3,FALSE)</f>
        <v>South</v>
      </c>
      <c r="R856" t="str">
        <f>VLOOKUP(E856,Sales_Reps!$A:$E,2,FALSE)</f>
        <v>Deepak Shah</v>
      </c>
      <c r="S856">
        <f t="shared" si="13"/>
        <v>0.54878048780487809</v>
      </c>
    </row>
    <row r="857" spans="1:19" x14ac:dyDescent="0.3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  <c r="L857" t="str">
        <f>VLOOKUP(D857,Products!$A:$F,3,FALSE)</f>
        <v>Beauty</v>
      </c>
      <c r="M857" t="b">
        <f>VLOOKUP(D857,Products!$A:$F,6,FALSE)</f>
        <v>1</v>
      </c>
      <c r="N857">
        <f>VLOOKUP(D857,Products!$A:$F,4,FALSE)</f>
        <v>2420</v>
      </c>
      <c r="O857" t="str">
        <f>VLOOKUP(C857,Customers!$A:$F,5,FALSE)</f>
        <v>Retail</v>
      </c>
      <c r="P857">
        <f>VLOOKUP(C857,Customers!$A:$F,3,FALSE)</f>
        <v>64</v>
      </c>
      <c r="Q857" t="str">
        <f>VLOOKUP(E857,Sales_Reps!$A:$E,3,FALSE)</f>
        <v>North</v>
      </c>
      <c r="R857" t="str">
        <f>VLOOKUP(E857,Sales_Reps!$A:$E,2,FALSE)</f>
        <v>Priya Singh</v>
      </c>
      <c r="S857">
        <f t="shared" si="13"/>
        <v>0.29855072463768118</v>
      </c>
    </row>
    <row r="858" spans="1:19" x14ac:dyDescent="0.3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  <c r="L858" t="str">
        <f>VLOOKUP(D858,Products!$A:$F,3,FALSE)</f>
        <v>Beauty</v>
      </c>
      <c r="M858" t="b">
        <f>VLOOKUP(D858,Products!$A:$F,6,FALSE)</f>
        <v>1</v>
      </c>
      <c r="N858">
        <f>VLOOKUP(D858,Products!$A:$F,4,FALSE)</f>
        <v>675</v>
      </c>
      <c r="O858" t="str">
        <f>VLOOKUP(C858,Customers!$A:$F,5,FALSE)</f>
        <v>Retail</v>
      </c>
      <c r="P858">
        <f>VLOOKUP(C858,Customers!$A:$F,3,FALSE)</f>
        <v>41</v>
      </c>
      <c r="Q858" t="str">
        <f>VLOOKUP(E858,Sales_Reps!$A:$E,3,FALSE)</f>
        <v>East</v>
      </c>
      <c r="R858" t="str">
        <f>VLOOKUP(E858,Sales_Reps!$A:$E,2,FALSE)</f>
        <v>Vinod Kumar</v>
      </c>
      <c r="S858">
        <f t="shared" si="13"/>
        <v>0.296875</v>
      </c>
    </row>
    <row r="859" spans="1:19" x14ac:dyDescent="0.3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  <c r="L859" t="str">
        <f>VLOOKUP(D859,Products!$A:$F,3,FALSE)</f>
        <v>Apparel</v>
      </c>
      <c r="M859" t="b">
        <f>VLOOKUP(D859,Products!$A:$F,6,FALSE)</f>
        <v>1</v>
      </c>
      <c r="N859">
        <f>VLOOKUP(D859,Products!$A:$F,4,FALSE)</f>
        <v>1748</v>
      </c>
      <c r="O859" t="str">
        <f>VLOOKUP(C859,Customers!$A:$F,5,FALSE)</f>
        <v>SMB</v>
      </c>
      <c r="P859">
        <f>VLOOKUP(C859,Customers!$A:$F,3,FALSE)</f>
        <v>43</v>
      </c>
      <c r="Q859" t="str">
        <f>VLOOKUP(E859,Sales_Reps!$A:$E,3,FALSE)</f>
        <v>North</v>
      </c>
      <c r="R859" t="str">
        <f>VLOOKUP(E859,Sales_Reps!$A:$E,2,FALSE)</f>
        <v>Amit Singh</v>
      </c>
      <c r="S859">
        <f t="shared" si="13"/>
        <v>0.49333333333333335</v>
      </c>
    </row>
    <row r="860" spans="1:19" x14ac:dyDescent="0.3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  <c r="L860" t="str">
        <f>VLOOKUP(D860,Products!$A:$F,3,FALSE)</f>
        <v>Electronics</v>
      </c>
      <c r="M860" t="b">
        <f>VLOOKUP(D860,Products!$A:$F,6,FALSE)</f>
        <v>1</v>
      </c>
      <c r="N860">
        <f>VLOOKUP(D860,Products!$A:$F,4,FALSE)</f>
        <v>517</v>
      </c>
      <c r="O860" t="str">
        <f>VLOOKUP(C860,Customers!$A:$F,5,FALSE)</f>
        <v>SMB</v>
      </c>
      <c r="P860">
        <f>VLOOKUP(C860,Customers!$A:$F,3,FALSE)</f>
        <v>59</v>
      </c>
      <c r="Q860" t="str">
        <f>VLOOKUP(E860,Sales_Reps!$A:$E,3,FALSE)</f>
        <v>North</v>
      </c>
      <c r="R860" t="str">
        <f>VLOOKUP(E860,Sales_Reps!$A:$E,2,FALSE)</f>
        <v>Kavita Patel</v>
      </c>
      <c r="S860">
        <f t="shared" si="13"/>
        <v>0.57622950819672136</v>
      </c>
    </row>
    <row r="861" spans="1:19" x14ac:dyDescent="0.3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  <c r="L861" t="str">
        <f>VLOOKUP(D861,Products!$A:$F,3,FALSE)</f>
        <v>Electronics</v>
      </c>
      <c r="M861" t="b">
        <f>VLOOKUP(D861,Products!$A:$F,6,FALSE)</f>
        <v>1</v>
      </c>
      <c r="N861">
        <f>VLOOKUP(D861,Products!$A:$F,4,FALSE)</f>
        <v>2405</v>
      </c>
      <c r="O861" t="str">
        <f>VLOOKUP(C861,Customers!$A:$F,5,FALSE)</f>
        <v>Retail</v>
      </c>
      <c r="P861">
        <f>VLOOKUP(C861,Customers!$A:$F,3,FALSE)</f>
        <v>39</v>
      </c>
      <c r="Q861" t="str">
        <f>VLOOKUP(E861,Sales_Reps!$A:$E,3,FALSE)</f>
        <v>North</v>
      </c>
      <c r="R861" t="str">
        <f>VLOOKUP(E861,Sales_Reps!$A:$E,2,FALSE)</f>
        <v>Suresh Menon</v>
      </c>
      <c r="S861">
        <f t="shared" si="13"/>
        <v>0.54878048780487809</v>
      </c>
    </row>
    <row r="862" spans="1:19" x14ac:dyDescent="0.3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  <c r="L862" t="str">
        <f>VLOOKUP(D862,Products!$A:$F,3,FALSE)</f>
        <v>Electronics</v>
      </c>
      <c r="M862" t="b">
        <f>VLOOKUP(D862,Products!$A:$F,6,FALSE)</f>
        <v>1</v>
      </c>
      <c r="N862">
        <f>VLOOKUP(D862,Products!$A:$F,4,FALSE)</f>
        <v>1665</v>
      </c>
      <c r="O862" t="str">
        <f>VLOOKUP(C862,Customers!$A:$F,5,FALSE)</f>
        <v>Retail</v>
      </c>
      <c r="P862">
        <f>VLOOKUP(C862,Customers!$A:$F,3,FALSE)</f>
        <v>29</v>
      </c>
      <c r="Q862" t="str">
        <f>VLOOKUP(E862,Sales_Reps!$A:$E,3,FALSE)</f>
        <v>West</v>
      </c>
      <c r="R862" t="str">
        <f>VLOOKUP(E862,Sales_Reps!$A:$E,2,FALSE)</f>
        <v>Preeti Shah</v>
      </c>
      <c r="S862">
        <f t="shared" si="13"/>
        <v>0.53361344537815125</v>
      </c>
    </row>
    <row r="863" spans="1:19" x14ac:dyDescent="0.3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  <c r="L863" t="str">
        <f>VLOOKUP(D863,Products!$A:$F,3,FALSE)</f>
        <v>Grocery</v>
      </c>
      <c r="M863" t="b">
        <f>VLOOKUP(D863,Products!$A:$F,6,FALSE)</f>
        <v>1</v>
      </c>
      <c r="N863">
        <f>VLOOKUP(D863,Products!$A:$F,4,FALSE)</f>
        <v>1010</v>
      </c>
      <c r="O863" t="str">
        <f>VLOOKUP(C863,Customers!$A:$F,5,FALSE)</f>
        <v>Retail</v>
      </c>
      <c r="P863">
        <f>VLOOKUP(C863,Customers!$A:$F,3,FALSE)</f>
        <v>56</v>
      </c>
      <c r="Q863" t="str">
        <f>VLOOKUP(E863,Sales_Reps!$A:$E,3,FALSE)</f>
        <v>West</v>
      </c>
      <c r="R863" t="str">
        <f>VLOOKUP(E863,Sales_Reps!$A:$E,2,FALSE)</f>
        <v>Sonia Malhotra</v>
      </c>
      <c r="S863">
        <f t="shared" si="13"/>
        <v>0.54298642533936647</v>
      </c>
    </row>
    <row r="864" spans="1:19" x14ac:dyDescent="0.3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  <c r="L864" t="str">
        <f>VLOOKUP(D864,Products!$A:$F,3,FALSE)</f>
        <v>Sports</v>
      </c>
      <c r="M864" t="b">
        <f>VLOOKUP(D864,Products!$A:$F,6,FALSE)</f>
        <v>1</v>
      </c>
      <c r="N864">
        <f>VLOOKUP(D864,Products!$A:$F,4,FALSE)</f>
        <v>1860</v>
      </c>
      <c r="O864" t="str">
        <f>VLOOKUP(C864,Customers!$A:$F,5,FALSE)</f>
        <v>SMB</v>
      </c>
      <c r="P864">
        <f>VLOOKUP(C864,Customers!$A:$F,3,FALSE)</f>
        <v>39</v>
      </c>
      <c r="Q864" t="str">
        <f>VLOOKUP(E864,Sales_Reps!$A:$E,3,FALSE)</f>
        <v>West</v>
      </c>
      <c r="R864" t="str">
        <f>VLOOKUP(E864,Sales_Reps!$A:$E,2,FALSE)</f>
        <v>Arun Iyer</v>
      </c>
      <c r="S864">
        <f t="shared" si="13"/>
        <v>0.50793650793650791</v>
      </c>
    </row>
    <row r="865" spans="1:19" x14ac:dyDescent="0.3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  <c r="L865" t="str">
        <f>VLOOKUP(D865,Products!$A:$F,3,FALSE)</f>
        <v>Electronics</v>
      </c>
      <c r="M865" t="b">
        <f>VLOOKUP(D865,Products!$A:$F,6,FALSE)</f>
        <v>1</v>
      </c>
      <c r="N865">
        <f>VLOOKUP(D865,Products!$A:$F,4,FALSE)</f>
        <v>1149</v>
      </c>
      <c r="O865" t="str">
        <f>VLOOKUP(C865,Customers!$A:$F,5,FALSE)</f>
        <v>Retail</v>
      </c>
      <c r="P865">
        <f>VLOOKUP(C865,Customers!$A:$F,3,FALSE)</f>
        <v>34</v>
      </c>
      <c r="Q865" t="str">
        <f>VLOOKUP(E865,Sales_Reps!$A:$E,3,FALSE)</f>
        <v>North</v>
      </c>
      <c r="R865" t="str">
        <f>VLOOKUP(E865,Sales_Reps!$A:$E,2,FALSE)</f>
        <v>Kavita Patel</v>
      </c>
      <c r="S865">
        <f t="shared" si="13"/>
        <v>0.56477272727272732</v>
      </c>
    </row>
    <row r="866" spans="1:19" x14ac:dyDescent="0.3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  <c r="L866" t="str">
        <f>VLOOKUP(D866,Products!$A:$F,3,FALSE)</f>
        <v>Electronics</v>
      </c>
      <c r="M866" t="b">
        <f>VLOOKUP(D866,Products!$A:$F,6,FALSE)</f>
        <v>1</v>
      </c>
      <c r="N866">
        <f>VLOOKUP(D866,Products!$A:$F,4,FALSE)</f>
        <v>128</v>
      </c>
      <c r="O866" t="str">
        <f>VLOOKUP(C866,Customers!$A:$F,5,FALSE)</f>
        <v>SMB</v>
      </c>
      <c r="P866">
        <f>VLOOKUP(C866,Customers!$A:$F,3,FALSE)</f>
        <v>42</v>
      </c>
      <c r="Q866" t="str">
        <f>VLOOKUP(E866,Sales_Reps!$A:$E,3,FALSE)</f>
        <v>West</v>
      </c>
      <c r="R866" t="str">
        <f>VLOOKUP(E866,Sales_Reps!$A:$E,2,FALSE)</f>
        <v>Rekha Chopra</v>
      </c>
      <c r="S866">
        <f t="shared" si="13"/>
        <v>0.57333333333333336</v>
      </c>
    </row>
    <row r="867" spans="1:19" x14ac:dyDescent="0.3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  <c r="L867" t="str">
        <f>VLOOKUP(D867,Products!$A:$F,3,FALSE)</f>
        <v>Sports</v>
      </c>
      <c r="M867" t="b">
        <f>VLOOKUP(D867,Products!$A:$F,6,FALSE)</f>
        <v>1</v>
      </c>
      <c r="N867">
        <f>VLOOKUP(D867,Products!$A:$F,4,FALSE)</f>
        <v>974</v>
      </c>
      <c r="O867" t="str">
        <f>VLOOKUP(C867,Customers!$A:$F,5,FALSE)</f>
        <v>SMB</v>
      </c>
      <c r="P867">
        <f>VLOOKUP(C867,Customers!$A:$F,3,FALSE)</f>
        <v>43</v>
      </c>
      <c r="Q867" t="str">
        <f>VLOOKUP(E867,Sales_Reps!$A:$E,3,FALSE)</f>
        <v>South</v>
      </c>
      <c r="R867" t="str">
        <f>VLOOKUP(E867,Sales_Reps!$A:$E,2,FALSE)</f>
        <v>Sanjay Kapoor</v>
      </c>
      <c r="S867">
        <f t="shared" si="13"/>
        <v>0.59416666666666662</v>
      </c>
    </row>
    <row r="868" spans="1:19" x14ac:dyDescent="0.3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  <c r="L868" t="str">
        <f>VLOOKUP(D868,Products!$A:$F,3,FALSE)</f>
        <v>Home</v>
      </c>
      <c r="M868" t="b">
        <f>VLOOKUP(D868,Products!$A:$F,6,FALSE)</f>
        <v>1</v>
      </c>
      <c r="N868">
        <f>VLOOKUP(D868,Products!$A:$F,4,FALSE)</f>
        <v>519</v>
      </c>
      <c r="O868" t="str">
        <f>VLOOKUP(C868,Customers!$A:$F,5,FALSE)</f>
        <v>Retail</v>
      </c>
      <c r="P868">
        <f>VLOOKUP(C868,Customers!$A:$F,3,FALSE)</f>
        <v>29</v>
      </c>
      <c r="Q868" t="str">
        <f>VLOOKUP(E868,Sales_Reps!$A:$E,3,FALSE)</f>
        <v>West</v>
      </c>
      <c r="R868" t="str">
        <f>VLOOKUP(E868,Sales_Reps!$A:$E,2,FALSE)</f>
        <v>Sonia Malhotra</v>
      </c>
      <c r="S868">
        <f t="shared" si="13"/>
        <v>0.51944444444444449</v>
      </c>
    </row>
    <row r="869" spans="1:19" x14ac:dyDescent="0.3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  <c r="L869" t="str">
        <f>VLOOKUP(D869,Products!$A:$F,3,FALSE)</f>
        <v>Home</v>
      </c>
      <c r="M869" t="b">
        <f>VLOOKUP(D869,Products!$A:$F,6,FALSE)</f>
        <v>1</v>
      </c>
      <c r="N869">
        <f>VLOOKUP(D869,Products!$A:$F,4,FALSE)</f>
        <v>1556</v>
      </c>
      <c r="O869" t="str">
        <f>VLOOKUP(C869,Customers!$A:$F,5,FALSE)</f>
        <v>Retail</v>
      </c>
      <c r="P869">
        <f>VLOOKUP(C869,Customers!$A:$F,3,FALSE)</f>
        <v>24</v>
      </c>
      <c r="Q869" t="str">
        <f>VLOOKUP(E869,Sales_Reps!$A:$E,3,FALSE)</f>
        <v>North</v>
      </c>
      <c r="R869" t="str">
        <f>VLOOKUP(E869,Sales_Reps!$A:$E,2,FALSE)</f>
        <v>Amit Singh</v>
      </c>
      <c r="S869">
        <f t="shared" si="13"/>
        <v>0.52123076923076928</v>
      </c>
    </row>
    <row r="870" spans="1:19" x14ac:dyDescent="0.3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  <c r="L870" t="str">
        <f>VLOOKUP(D870,Products!$A:$F,3,FALSE)</f>
        <v>Home</v>
      </c>
      <c r="M870" t="b">
        <f>VLOOKUP(D870,Products!$A:$F,6,FALSE)</f>
        <v>1</v>
      </c>
      <c r="N870">
        <f>VLOOKUP(D870,Products!$A:$F,4,FALSE)</f>
        <v>288</v>
      </c>
      <c r="O870" t="str">
        <f>VLOOKUP(C870,Customers!$A:$F,5,FALSE)</f>
        <v>Corporate</v>
      </c>
      <c r="P870">
        <f>VLOOKUP(C870,Customers!$A:$F,3,FALSE)</f>
        <v>42</v>
      </c>
      <c r="Q870" t="str">
        <f>VLOOKUP(E870,Sales_Reps!$A:$E,3,FALSE)</f>
        <v>East</v>
      </c>
      <c r="R870" t="str">
        <f>VLOOKUP(E870,Sales_Reps!$A:$E,2,FALSE)</f>
        <v>Gaurav Desai</v>
      </c>
      <c r="S870">
        <f t="shared" si="13"/>
        <v>0.22162162162162163</v>
      </c>
    </row>
    <row r="871" spans="1:19" x14ac:dyDescent="0.3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  <c r="L871" t="str">
        <f>VLOOKUP(D871,Products!$A:$F,3,FALSE)</f>
        <v>Home</v>
      </c>
      <c r="M871" t="b">
        <f>VLOOKUP(D871,Products!$A:$F,6,FALSE)</f>
        <v>1</v>
      </c>
      <c r="N871">
        <f>VLOOKUP(D871,Products!$A:$F,4,FALSE)</f>
        <v>2549</v>
      </c>
      <c r="O871" t="e">
        <f>VLOOKUP(C871,Customers!$A:$F,5,FALSE)</f>
        <v>#N/A</v>
      </c>
      <c r="P871" t="e">
        <f>VLOOKUP(C871,Customers!$A:$F,3,FALSE)</f>
        <v>#N/A</v>
      </c>
      <c r="Q871" t="str">
        <f>VLOOKUP(E871,Sales_Reps!$A:$E,3,FALSE)</f>
        <v>West</v>
      </c>
      <c r="R871" t="str">
        <f>VLOOKUP(E871,Sales_Reps!$A:$E,2,FALSE)</f>
        <v>Arun Iyer</v>
      </c>
      <c r="S871">
        <f t="shared" si="13"/>
        <v>0.53570127504553733</v>
      </c>
    </row>
    <row r="872" spans="1:19" x14ac:dyDescent="0.3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  <c r="L872" t="str">
        <f>VLOOKUP(D872,Products!$A:$F,3,FALSE)</f>
        <v>Electronics</v>
      </c>
      <c r="M872" t="b">
        <f>VLOOKUP(D872,Products!$A:$F,6,FALSE)</f>
        <v>1</v>
      </c>
      <c r="N872">
        <f>VLOOKUP(D872,Products!$A:$F,4,FALSE)</f>
        <v>2865</v>
      </c>
      <c r="O872" t="str">
        <f>VLOOKUP(C872,Customers!$A:$F,5,FALSE)</f>
        <v>Retail</v>
      </c>
      <c r="P872">
        <f>VLOOKUP(C872,Customers!$A:$F,3,FALSE)</f>
        <v>38</v>
      </c>
      <c r="Q872" t="str">
        <f>VLOOKUP(E872,Sales_Reps!$A:$E,3,FALSE)</f>
        <v>West</v>
      </c>
      <c r="R872" t="str">
        <f>VLOOKUP(E872,Sales_Reps!$A:$E,2,FALSE)</f>
        <v>Preeti Shah</v>
      </c>
      <c r="S872">
        <f t="shared" si="13"/>
        <v>0.27833753148614609</v>
      </c>
    </row>
    <row r="873" spans="1:19" x14ac:dyDescent="0.3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  <c r="L873" t="str">
        <f>VLOOKUP(D873,Products!$A:$F,3,FALSE)</f>
        <v>Electronics</v>
      </c>
      <c r="M873" t="b">
        <f>VLOOKUP(D873,Products!$A:$F,6,FALSE)</f>
        <v>1</v>
      </c>
      <c r="N873">
        <f>VLOOKUP(D873,Products!$A:$F,4,FALSE)</f>
        <v>517</v>
      </c>
      <c r="O873" t="str">
        <f>VLOOKUP(C873,Customers!$A:$F,5,FALSE)</f>
        <v>Retail</v>
      </c>
      <c r="P873">
        <f>VLOOKUP(C873,Customers!$A:$F,3,FALSE)</f>
        <v>52</v>
      </c>
      <c r="Q873" t="str">
        <f>VLOOKUP(E873,Sales_Reps!$A:$E,3,FALSE)</f>
        <v>North</v>
      </c>
      <c r="R873" t="str">
        <f>VLOOKUP(E873,Sales_Reps!$A:$E,2,FALSE)</f>
        <v>Suresh Menon</v>
      </c>
      <c r="S873">
        <f t="shared" si="13"/>
        <v>0.57622950819672136</v>
      </c>
    </row>
    <row r="874" spans="1:19" x14ac:dyDescent="0.3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  <c r="L874" t="str">
        <f>VLOOKUP(D874,Products!$A:$F,3,FALSE)</f>
        <v>Apparel</v>
      </c>
      <c r="M874" t="b">
        <f>VLOOKUP(D874,Products!$A:$F,6,FALSE)</f>
        <v>1</v>
      </c>
      <c r="N874">
        <f>VLOOKUP(D874,Products!$A:$F,4,FALSE)</f>
        <v>1886</v>
      </c>
      <c r="O874" t="str">
        <f>VLOOKUP(C874,Customers!$A:$F,5,FALSE)</f>
        <v>Retail</v>
      </c>
      <c r="P874">
        <f>VLOOKUP(C874,Customers!$A:$F,3,FALSE)</f>
        <v>64</v>
      </c>
      <c r="Q874" t="str">
        <f>VLOOKUP(E874,Sales_Reps!$A:$E,3,FALSE)</f>
        <v>West</v>
      </c>
      <c r="R874" t="str">
        <f>VLOOKUP(E874,Sales_Reps!$A:$E,2,FALSE)</f>
        <v>Sonia Malhotra</v>
      </c>
      <c r="S874">
        <f t="shared" si="13"/>
        <v>0.4031645569620253</v>
      </c>
    </row>
    <row r="875" spans="1:19" x14ac:dyDescent="0.3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  <c r="L875" t="str">
        <f>VLOOKUP(D875,Products!$A:$F,3,FALSE)</f>
        <v>Electronics</v>
      </c>
      <c r="M875" t="b">
        <f>VLOOKUP(D875,Products!$A:$F,6,FALSE)</f>
        <v>1</v>
      </c>
      <c r="N875">
        <f>VLOOKUP(D875,Products!$A:$F,4,FALSE)</f>
        <v>128</v>
      </c>
      <c r="O875" t="str">
        <f>VLOOKUP(C875,Customers!$A:$F,5,FALSE)</f>
        <v>Retail</v>
      </c>
      <c r="P875">
        <f>VLOOKUP(C875,Customers!$A:$F,3,FALSE)</f>
        <v>44</v>
      </c>
      <c r="Q875" t="str">
        <f>VLOOKUP(E875,Sales_Reps!$A:$E,3,FALSE)</f>
        <v>North</v>
      </c>
      <c r="R875" t="str">
        <f>VLOOKUP(E875,Sales_Reps!$A:$E,2,FALSE)</f>
        <v>Kavita Patel</v>
      </c>
      <c r="S875">
        <f t="shared" si="13"/>
        <v>0.57333333333333336</v>
      </c>
    </row>
    <row r="876" spans="1:19" x14ac:dyDescent="0.3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  <c r="L876" t="str">
        <f>VLOOKUP(D876,Products!$A:$F,3,FALSE)</f>
        <v>Beauty</v>
      </c>
      <c r="M876" t="b">
        <f>VLOOKUP(D876,Products!$A:$F,6,FALSE)</f>
        <v>1</v>
      </c>
      <c r="N876">
        <f>VLOOKUP(D876,Products!$A:$F,4,FALSE)</f>
        <v>2420</v>
      </c>
      <c r="O876" t="str">
        <f>VLOOKUP(C876,Customers!$A:$F,5,FALSE)</f>
        <v>SMB</v>
      </c>
      <c r="P876">
        <f>VLOOKUP(C876,Customers!$A:$F,3,FALSE)</f>
        <v>51</v>
      </c>
      <c r="Q876" t="str">
        <f>VLOOKUP(E876,Sales_Reps!$A:$E,3,FALSE)</f>
        <v>West</v>
      </c>
      <c r="R876" t="str">
        <f>VLOOKUP(E876,Sales_Reps!$A:$E,2,FALSE)</f>
        <v>Arun Iyer</v>
      </c>
      <c r="S876">
        <f t="shared" si="13"/>
        <v>0.29855072463768118</v>
      </c>
    </row>
    <row r="877" spans="1:19" x14ac:dyDescent="0.3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  <c r="L877" t="str">
        <f>VLOOKUP(D877,Products!$A:$F,3,FALSE)</f>
        <v>Apparel</v>
      </c>
      <c r="M877" t="b">
        <f>VLOOKUP(D877,Products!$A:$F,6,FALSE)</f>
        <v>1</v>
      </c>
      <c r="N877">
        <f>VLOOKUP(D877,Products!$A:$F,4,FALSE)</f>
        <v>2509</v>
      </c>
      <c r="O877" t="str">
        <f>VLOOKUP(C877,Customers!$A:$F,5,FALSE)</f>
        <v>Retail</v>
      </c>
      <c r="P877">
        <f>VLOOKUP(C877,Customers!$A:$F,3,FALSE)</f>
        <v>38</v>
      </c>
      <c r="Q877" t="str">
        <f>VLOOKUP(E877,Sales_Reps!$A:$E,3,FALSE)</f>
        <v>West</v>
      </c>
      <c r="R877" t="str">
        <f>VLOOKUP(E877,Sales_Reps!$A:$E,2,FALSE)</f>
        <v>Ramesh Bhatt</v>
      </c>
      <c r="S877">
        <f t="shared" si="13"/>
        <v>0.3069060773480663</v>
      </c>
    </row>
    <row r="878" spans="1:19" x14ac:dyDescent="0.3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  <c r="L878" t="str">
        <f>VLOOKUP(D878,Products!$A:$F,3,FALSE)</f>
        <v>Grocery</v>
      </c>
      <c r="M878" t="b">
        <f>VLOOKUP(D878,Products!$A:$F,6,FALSE)</f>
        <v>1</v>
      </c>
      <c r="N878">
        <f>VLOOKUP(D878,Products!$A:$F,4,FALSE)</f>
        <v>1203</v>
      </c>
      <c r="O878" t="str">
        <f>VLOOKUP(C878,Customers!$A:$F,5,FALSE)</f>
        <v>Retail</v>
      </c>
      <c r="P878">
        <f>VLOOKUP(C878,Customers!$A:$F,3,FALSE)</f>
        <v>36</v>
      </c>
      <c r="Q878" t="str">
        <f>VLOOKUP(E878,Sales_Reps!$A:$E,3,FALSE)</f>
        <v>South</v>
      </c>
      <c r="R878" t="str">
        <f>VLOOKUP(E878,Sales_Reps!$A:$E,2,FALSE)</f>
        <v>Divya Rao</v>
      </c>
      <c r="S878">
        <f t="shared" si="13"/>
        <v>0.47004405286343615</v>
      </c>
    </row>
    <row r="879" spans="1:19" x14ac:dyDescent="0.3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  <c r="L879" t="str">
        <f>VLOOKUP(D879,Products!$A:$F,3,FALSE)</f>
        <v>Apparel</v>
      </c>
      <c r="M879" t="b">
        <f>VLOOKUP(D879,Products!$A:$F,6,FALSE)</f>
        <v>1</v>
      </c>
      <c r="N879">
        <f>VLOOKUP(D879,Products!$A:$F,4,FALSE)</f>
        <v>1962</v>
      </c>
      <c r="O879" t="str">
        <f>VLOOKUP(C879,Customers!$A:$F,5,FALSE)</f>
        <v>Corporate</v>
      </c>
      <c r="P879">
        <f>VLOOKUP(C879,Customers!$A:$F,3,FALSE)</f>
        <v>42</v>
      </c>
      <c r="Q879" t="str">
        <f>VLOOKUP(E879,Sales_Reps!$A:$E,3,FALSE)</f>
        <v>West</v>
      </c>
      <c r="R879" t="str">
        <f>VLOOKUP(E879,Sales_Reps!$A:$E,2,FALSE)</f>
        <v>Rekha Chopra</v>
      </c>
      <c r="S879">
        <f t="shared" si="13"/>
        <v>0.2786764705882353</v>
      </c>
    </row>
    <row r="880" spans="1:19" x14ac:dyDescent="0.3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  <c r="L880" t="str">
        <f>VLOOKUP(D880,Products!$A:$F,3,FALSE)</f>
        <v>Grocery</v>
      </c>
      <c r="M880" t="b">
        <f>VLOOKUP(D880,Products!$A:$F,6,FALSE)</f>
        <v>1</v>
      </c>
      <c r="N880">
        <f>VLOOKUP(D880,Products!$A:$F,4,FALSE)</f>
        <v>2436</v>
      </c>
      <c r="O880" t="str">
        <f>VLOOKUP(C880,Customers!$A:$F,5,FALSE)</f>
        <v>Retail</v>
      </c>
      <c r="P880">
        <f>VLOOKUP(C880,Customers!$A:$F,3,FALSE)</f>
        <v>31</v>
      </c>
      <c r="Q880" t="str">
        <f>VLOOKUP(E880,Sales_Reps!$A:$E,3,FALSE)</f>
        <v>East</v>
      </c>
      <c r="R880" t="str">
        <f>VLOOKUP(E880,Sales_Reps!$A:$E,2,FALSE)</f>
        <v>Nisha Menon</v>
      </c>
      <c r="S880">
        <f t="shared" si="13"/>
        <v>0.35555555555555557</v>
      </c>
    </row>
    <row r="881" spans="1:19" x14ac:dyDescent="0.3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  <c r="L881" t="str">
        <f>VLOOKUP(D881,Products!$A:$F,3,FALSE)</f>
        <v>Grocery</v>
      </c>
      <c r="M881" t="b">
        <f>VLOOKUP(D881,Products!$A:$F,6,FALSE)</f>
        <v>1</v>
      </c>
      <c r="N881">
        <f>VLOOKUP(D881,Products!$A:$F,4,FALSE)</f>
        <v>2911</v>
      </c>
      <c r="O881" t="str">
        <f>VLOOKUP(C881,Customers!$A:$F,5,FALSE)</f>
        <v>Retail</v>
      </c>
      <c r="P881">
        <f>VLOOKUP(C881,Customers!$A:$F,3,FALSE)</f>
        <v>34</v>
      </c>
      <c r="Q881" t="str">
        <f>VLOOKUP(E881,Sales_Reps!$A:$E,3,FALSE)</f>
        <v>South</v>
      </c>
      <c r="R881" t="str">
        <f>VLOOKUP(E881,Sales_Reps!$A:$E,2,FALSE)</f>
        <v>Ritu Menon</v>
      </c>
      <c r="S881">
        <f t="shared" si="13"/>
        <v>0.28300492610837441</v>
      </c>
    </row>
    <row r="882" spans="1:19" x14ac:dyDescent="0.3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  <c r="L882" t="str">
        <f>VLOOKUP(D882,Products!$A:$F,3,FALSE)</f>
        <v>Grocery</v>
      </c>
      <c r="M882" t="b">
        <f>VLOOKUP(D882,Products!$A:$F,6,FALSE)</f>
        <v>1</v>
      </c>
      <c r="N882">
        <f>VLOOKUP(D882,Products!$A:$F,4,FALSE)</f>
        <v>1435</v>
      </c>
      <c r="O882" t="str">
        <f>VLOOKUP(C882,Customers!$A:$F,5,FALSE)</f>
        <v>Retail</v>
      </c>
      <c r="P882">
        <f>VLOOKUP(C882,Customers!$A:$F,3,FALSE)</f>
        <v>44</v>
      </c>
      <c r="Q882" t="str">
        <f>VLOOKUP(E882,Sales_Reps!$A:$E,3,FALSE)</f>
        <v>South</v>
      </c>
      <c r="R882" t="str">
        <f>VLOOKUP(E882,Sales_Reps!$A:$E,2,FALSE)</f>
        <v>Pooja Nair</v>
      </c>
      <c r="S882">
        <f t="shared" si="13"/>
        <v>0.48007246376811596</v>
      </c>
    </row>
    <row r="883" spans="1:19" x14ac:dyDescent="0.3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  <c r="L883" t="str">
        <f>VLOOKUP(D883,Products!$A:$F,3,FALSE)</f>
        <v>Home</v>
      </c>
      <c r="M883" t="b">
        <f>VLOOKUP(D883,Products!$A:$F,6,FALSE)</f>
        <v>1</v>
      </c>
      <c r="N883">
        <f>VLOOKUP(D883,Products!$A:$F,4,FALSE)</f>
        <v>519</v>
      </c>
      <c r="O883" t="str">
        <f>VLOOKUP(C883,Customers!$A:$F,5,FALSE)</f>
        <v>Retail</v>
      </c>
      <c r="P883">
        <f>VLOOKUP(C883,Customers!$A:$F,3,FALSE)</f>
        <v>37</v>
      </c>
      <c r="Q883" t="str">
        <f>VLOOKUP(E883,Sales_Reps!$A:$E,3,FALSE)</f>
        <v>East</v>
      </c>
      <c r="R883" t="str">
        <f>VLOOKUP(E883,Sales_Reps!$A:$E,2,FALSE)</f>
        <v>Gaurav Desai</v>
      </c>
      <c r="S883">
        <f t="shared" si="13"/>
        <v>0.51944444444444449</v>
      </c>
    </row>
    <row r="884" spans="1:19" x14ac:dyDescent="0.3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  <c r="L884" t="str">
        <f>VLOOKUP(D884,Products!$A:$F,3,FALSE)</f>
        <v>Home</v>
      </c>
      <c r="M884" t="b">
        <f>VLOOKUP(D884,Products!$A:$F,6,FALSE)</f>
        <v>1</v>
      </c>
      <c r="N884">
        <f>VLOOKUP(D884,Products!$A:$F,4,FALSE)</f>
        <v>2459</v>
      </c>
      <c r="O884" t="str">
        <f>VLOOKUP(C884,Customers!$A:$F,5,FALSE)</f>
        <v>Corporate</v>
      </c>
      <c r="P884">
        <f>VLOOKUP(C884,Customers!$A:$F,3,FALSE)</f>
        <v>42</v>
      </c>
      <c r="Q884" t="str">
        <f>VLOOKUP(E884,Sales_Reps!$A:$E,3,FALSE)</f>
        <v>East</v>
      </c>
      <c r="R884" t="str">
        <f>VLOOKUP(E884,Sales_Reps!$A:$E,2,FALSE)</f>
        <v>Vinod Kumar</v>
      </c>
      <c r="S884">
        <f t="shared" si="13"/>
        <v>0.51594488188976373</v>
      </c>
    </row>
    <row r="885" spans="1:19" x14ac:dyDescent="0.3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  <c r="L885" t="str">
        <f>VLOOKUP(D885,Products!$A:$F,3,FALSE)</f>
        <v>Beauty</v>
      </c>
      <c r="M885" t="b">
        <f>VLOOKUP(D885,Products!$A:$F,6,FALSE)</f>
        <v>1</v>
      </c>
      <c r="N885">
        <f>VLOOKUP(D885,Products!$A:$F,4,FALSE)</f>
        <v>2768</v>
      </c>
      <c r="O885" t="str">
        <f>VLOOKUP(C885,Customers!$A:$F,5,FALSE)</f>
        <v>Retail</v>
      </c>
      <c r="P885">
        <f>VLOOKUP(C885,Customers!$A:$F,3,FALSE)</f>
        <v>56</v>
      </c>
      <c r="Q885" t="str">
        <f>VLOOKUP(E885,Sales_Reps!$A:$E,3,FALSE)</f>
        <v>West</v>
      </c>
      <c r="R885" t="str">
        <f>VLOOKUP(E885,Sales_Reps!$A:$E,2,FALSE)</f>
        <v>Kiran Bhatt</v>
      </c>
      <c r="S885">
        <f t="shared" si="13"/>
        <v>0.43278688524590164</v>
      </c>
    </row>
    <row r="886" spans="1:19" x14ac:dyDescent="0.3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  <c r="L886" t="str">
        <f>VLOOKUP(D886,Products!$A:$F,3,FALSE)</f>
        <v>Grocery</v>
      </c>
      <c r="M886" t="b">
        <f>VLOOKUP(D886,Products!$A:$F,6,FALSE)</f>
        <v>1</v>
      </c>
      <c r="N886">
        <f>VLOOKUP(D886,Products!$A:$F,4,FALSE)</f>
        <v>1412</v>
      </c>
      <c r="O886" t="str">
        <f>VLOOKUP(C886,Customers!$A:$F,5,FALSE)</f>
        <v>SMB</v>
      </c>
      <c r="P886">
        <f>VLOOKUP(C886,Customers!$A:$F,3,FALSE)</f>
        <v>36</v>
      </c>
      <c r="Q886" t="str">
        <f>VLOOKUP(E886,Sales_Reps!$A:$E,3,FALSE)</f>
        <v>West</v>
      </c>
      <c r="R886" t="str">
        <f>VLOOKUP(E886,Sales_Reps!$A:$E,2,FALSE)</f>
        <v>Ramesh Bhatt</v>
      </c>
      <c r="S886">
        <f t="shared" si="13"/>
        <v>0.37797356828193834</v>
      </c>
    </row>
    <row r="887" spans="1:19" x14ac:dyDescent="0.3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  <c r="L887" t="str">
        <f>VLOOKUP(D887,Products!$A:$F,3,FALSE)</f>
        <v>Electronics</v>
      </c>
      <c r="M887" t="b">
        <f>VLOOKUP(D887,Products!$A:$F,6,FALSE)</f>
        <v>1</v>
      </c>
      <c r="N887">
        <f>VLOOKUP(D887,Products!$A:$F,4,FALSE)</f>
        <v>2865</v>
      </c>
      <c r="O887" t="str">
        <f>VLOOKUP(C887,Customers!$A:$F,5,FALSE)</f>
        <v>SMB</v>
      </c>
      <c r="P887">
        <f>VLOOKUP(C887,Customers!$A:$F,3,FALSE)</f>
        <v>55</v>
      </c>
      <c r="Q887" t="str">
        <f>VLOOKUP(E887,Sales_Reps!$A:$E,3,FALSE)</f>
        <v>East</v>
      </c>
      <c r="R887" t="str">
        <f>VLOOKUP(E887,Sales_Reps!$A:$E,2,FALSE)</f>
        <v>Prakash Shah</v>
      </c>
      <c r="S887">
        <f t="shared" si="13"/>
        <v>0.27833753148614609</v>
      </c>
    </row>
    <row r="888" spans="1:19" x14ac:dyDescent="0.3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  <c r="L888" t="str">
        <f>VLOOKUP(D888,Products!$A:$F,3,FALSE)</f>
        <v>Beauty</v>
      </c>
      <c r="M888" t="b">
        <f>VLOOKUP(D888,Products!$A:$F,6,FALSE)</f>
        <v>1</v>
      </c>
      <c r="N888">
        <f>VLOOKUP(D888,Products!$A:$F,4,FALSE)</f>
        <v>2237</v>
      </c>
      <c r="O888" t="str">
        <f>VLOOKUP(C888,Customers!$A:$F,5,FALSE)</f>
        <v>Retail</v>
      </c>
      <c r="P888">
        <f>VLOOKUP(C888,Customers!$A:$F,3,FALSE)</f>
        <v>52</v>
      </c>
      <c r="Q888" t="str">
        <f>VLOOKUP(E888,Sales_Reps!$A:$E,3,FALSE)</f>
        <v>North</v>
      </c>
      <c r="R888" t="str">
        <f>VLOOKUP(E888,Sales_Reps!$A:$E,2,FALSE)</f>
        <v>Amit Singh</v>
      </c>
      <c r="S888">
        <f t="shared" si="13"/>
        <v>0.56137254901960787</v>
      </c>
    </row>
    <row r="889" spans="1:19" x14ac:dyDescent="0.3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  <c r="L889" t="str">
        <f>VLOOKUP(D889,Products!$A:$F,3,FALSE)</f>
        <v>Sports</v>
      </c>
      <c r="M889" t="b">
        <f>VLOOKUP(D889,Products!$A:$F,6,FALSE)</f>
        <v>1</v>
      </c>
      <c r="N889">
        <f>VLOOKUP(D889,Products!$A:$F,4,FALSE)</f>
        <v>147</v>
      </c>
      <c r="O889" t="str">
        <f>VLOOKUP(C889,Customers!$A:$F,5,FALSE)</f>
        <v>SMB</v>
      </c>
      <c r="P889">
        <f>VLOOKUP(C889,Customers!$A:$F,3,FALSE)</f>
        <v>29</v>
      </c>
      <c r="Q889" t="str">
        <f>VLOOKUP(E889,Sales_Reps!$A:$E,3,FALSE)</f>
        <v>North</v>
      </c>
      <c r="R889" t="str">
        <f>VLOOKUP(E889,Sales_Reps!$A:$E,2,FALSE)</f>
        <v>Vikram Patel</v>
      </c>
      <c r="S889">
        <f t="shared" si="13"/>
        <v>0.22631578947368422</v>
      </c>
    </row>
    <row r="890" spans="1:19" x14ac:dyDescent="0.3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  <c r="L890" t="str">
        <f>VLOOKUP(D890,Products!$A:$F,3,FALSE)</f>
        <v>Beauty</v>
      </c>
      <c r="M890" t="b">
        <f>VLOOKUP(D890,Products!$A:$F,6,FALSE)</f>
        <v>1</v>
      </c>
      <c r="N890">
        <f>VLOOKUP(D890,Products!$A:$F,4,FALSE)</f>
        <v>2617</v>
      </c>
      <c r="O890" t="str">
        <f>VLOOKUP(C890,Customers!$A:$F,5,FALSE)</f>
        <v>Retail</v>
      </c>
      <c r="P890">
        <f>VLOOKUP(C890,Customers!$A:$F,3,FALSE)</f>
        <v>42</v>
      </c>
      <c r="Q890" t="str">
        <f>VLOOKUP(E890,Sales_Reps!$A:$E,3,FALSE)</f>
        <v>West</v>
      </c>
      <c r="R890" t="str">
        <f>VLOOKUP(E890,Sales_Reps!$A:$E,2,FALSE)</f>
        <v>Sonia Malhotra</v>
      </c>
      <c r="S890">
        <f t="shared" si="13"/>
        <v>0.56957236842105263</v>
      </c>
    </row>
    <row r="891" spans="1:19" x14ac:dyDescent="0.3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  <c r="L891" t="str">
        <f>VLOOKUP(D891,Products!$A:$F,3,FALSE)</f>
        <v>Sports</v>
      </c>
      <c r="M891" t="b">
        <f>VLOOKUP(D891,Products!$A:$F,6,FALSE)</f>
        <v>1</v>
      </c>
      <c r="N891">
        <f>VLOOKUP(D891,Products!$A:$F,4,FALSE)</f>
        <v>705</v>
      </c>
      <c r="O891" t="str">
        <f>VLOOKUP(C891,Customers!$A:$F,5,FALSE)</f>
        <v>Retail</v>
      </c>
      <c r="P891">
        <f>VLOOKUP(C891,Customers!$A:$F,3,FALSE)</f>
        <v>39</v>
      </c>
      <c r="Q891" t="str">
        <f>VLOOKUP(E891,Sales_Reps!$A:$E,3,FALSE)</f>
        <v>East</v>
      </c>
      <c r="R891" t="str">
        <f>VLOOKUP(E891,Sales_Reps!$A:$E,2,FALSE)</f>
        <v>Meera Iyer</v>
      </c>
      <c r="S891">
        <f t="shared" si="13"/>
        <v>0.265625</v>
      </c>
    </row>
    <row r="892" spans="1:19" x14ac:dyDescent="0.3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  <c r="L892" t="str">
        <f>VLOOKUP(D892,Products!$A:$F,3,FALSE)</f>
        <v>Beauty</v>
      </c>
      <c r="M892" t="b">
        <f>VLOOKUP(D892,Products!$A:$F,6,FALSE)</f>
        <v>0</v>
      </c>
      <c r="N892">
        <f>VLOOKUP(D892,Products!$A:$F,4,FALSE)</f>
        <v>647</v>
      </c>
      <c r="O892" t="str">
        <f>VLOOKUP(C892,Customers!$A:$F,5,FALSE)</f>
        <v>SMB</v>
      </c>
      <c r="P892">
        <f>VLOOKUP(C892,Customers!$A:$F,3,FALSE)</f>
        <v>48</v>
      </c>
      <c r="Q892" t="str">
        <f>VLOOKUP(E892,Sales_Reps!$A:$E,3,FALSE)</f>
        <v>North</v>
      </c>
      <c r="R892" t="str">
        <f>VLOOKUP(E892,Sales_Reps!$A:$E,2,FALSE)</f>
        <v>Priya Singh</v>
      </c>
      <c r="S892">
        <f t="shared" si="13"/>
        <v>0.57987012987012987</v>
      </c>
    </row>
    <row r="893" spans="1:19" x14ac:dyDescent="0.3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  <c r="L893" t="str">
        <f>VLOOKUP(D893,Products!$A:$F,3,FALSE)</f>
        <v>Electronics</v>
      </c>
      <c r="M893" t="b">
        <f>VLOOKUP(D893,Products!$A:$F,6,FALSE)</f>
        <v>1</v>
      </c>
      <c r="N893">
        <f>VLOOKUP(D893,Products!$A:$F,4,FALSE)</f>
        <v>128</v>
      </c>
      <c r="O893" t="str">
        <f>VLOOKUP(C893,Customers!$A:$F,5,FALSE)</f>
        <v>Retail</v>
      </c>
      <c r="P893">
        <f>VLOOKUP(C893,Customers!$A:$F,3,FALSE)</f>
        <v>54</v>
      </c>
      <c r="Q893" t="str">
        <f>VLOOKUP(E893,Sales_Reps!$A:$E,3,FALSE)</f>
        <v>South</v>
      </c>
      <c r="R893" t="str">
        <f>VLOOKUP(E893,Sales_Reps!$A:$E,2,FALSE)</f>
        <v>Anil Verma</v>
      </c>
      <c r="S893">
        <f t="shared" si="13"/>
        <v>0.57333333333333336</v>
      </c>
    </row>
    <row r="894" spans="1:19" x14ac:dyDescent="0.3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  <c r="L894" t="str">
        <f>VLOOKUP(D894,Products!$A:$F,3,FALSE)</f>
        <v>Beauty</v>
      </c>
      <c r="M894" t="b">
        <f>VLOOKUP(D894,Products!$A:$F,6,FALSE)</f>
        <v>1</v>
      </c>
      <c r="N894">
        <f>VLOOKUP(D894,Products!$A:$F,4,FALSE)</f>
        <v>2768</v>
      </c>
      <c r="O894" t="str">
        <f>VLOOKUP(C894,Customers!$A:$F,5,FALSE)</f>
        <v>SMB</v>
      </c>
      <c r="P894">
        <f>VLOOKUP(C894,Customers!$A:$F,3,FALSE)</f>
        <v>48</v>
      </c>
      <c r="Q894" t="str">
        <f>VLOOKUP(E894,Sales_Reps!$A:$E,3,FALSE)</f>
        <v>South</v>
      </c>
      <c r="R894" t="str">
        <f>VLOOKUP(E894,Sales_Reps!$A:$E,2,FALSE)</f>
        <v>Anil Verma</v>
      </c>
      <c r="S894">
        <f t="shared" si="13"/>
        <v>0.43278688524590164</v>
      </c>
    </row>
    <row r="895" spans="1:19" x14ac:dyDescent="0.3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  <c r="L895" t="str">
        <f>VLOOKUP(D895,Products!$A:$F,3,FALSE)</f>
        <v>Home</v>
      </c>
      <c r="M895" t="b">
        <f>VLOOKUP(D895,Products!$A:$F,6,FALSE)</f>
        <v>1</v>
      </c>
      <c r="N895">
        <f>VLOOKUP(D895,Products!$A:$F,4,FALSE)</f>
        <v>288</v>
      </c>
      <c r="O895" t="str">
        <f>VLOOKUP(C895,Customers!$A:$F,5,FALSE)</f>
        <v>Retail</v>
      </c>
      <c r="P895">
        <f>VLOOKUP(C895,Customers!$A:$F,3,FALSE)</f>
        <v>54</v>
      </c>
      <c r="Q895" t="str">
        <f>VLOOKUP(E895,Sales_Reps!$A:$E,3,FALSE)</f>
        <v>North</v>
      </c>
      <c r="R895" t="str">
        <f>VLOOKUP(E895,Sales_Reps!$A:$E,2,FALSE)</f>
        <v>Amit Singh</v>
      </c>
      <c r="S895">
        <f t="shared" si="13"/>
        <v>0.22162162162162163</v>
      </c>
    </row>
    <row r="896" spans="1:19" x14ac:dyDescent="0.3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  <c r="L896" t="str">
        <f>VLOOKUP(D896,Products!$A:$F,3,FALSE)</f>
        <v>Home</v>
      </c>
      <c r="M896" t="b">
        <f>VLOOKUP(D896,Products!$A:$F,6,FALSE)</f>
        <v>1</v>
      </c>
      <c r="N896">
        <f>VLOOKUP(D896,Products!$A:$F,4,FALSE)</f>
        <v>1850</v>
      </c>
      <c r="O896" t="str">
        <f>VLOOKUP(C896,Customers!$A:$F,5,FALSE)</f>
        <v>SMB</v>
      </c>
      <c r="P896">
        <f>VLOOKUP(C896,Customers!$A:$F,3,FALSE)</f>
        <v>44</v>
      </c>
      <c r="Q896" t="str">
        <f>VLOOKUP(E896,Sales_Reps!$A:$E,3,FALSE)</f>
        <v>North</v>
      </c>
      <c r="R896" t="str">
        <f>VLOOKUP(E896,Sales_Reps!$A:$E,2,FALSE)</f>
        <v>Sunita Malhotra</v>
      </c>
      <c r="S896">
        <f t="shared" si="13"/>
        <v>0.59869848156182215</v>
      </c>
    </row>
    <row r="897" spans="1:19" x14ac:dyDescent="0.3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  <c r="L897" t="str">
        <f>VLOOKUP(D897,Products!$A:$F,3,FALSE)</f>
        <v>Electronics</v>
      </c>
      <c r="M897" t="b">
        <f>VLOOKUP(D897,Products!$A:$F,6,FALSE)</f>
        <v>1</v>
      </c>
      <c r="N897">
        <f>VLOOKUP(D897,Products!$A:$F,4,FALSE)</f>
        <v>1052</v>
      </c>
      <c r="O897" t="str">
        <f>VLOOKUP(C897,Customers!$A:$F,5,FALSE)</f>
        <v>Retail</v>
      </c>
      <c r="P897">
        <f>VLOOKUP(C897,Customers!$A:$F,3,FALSE)</f>
        <v>35</v>
      </c>
      <c r="Q897" t="str">
        <f>VLOOKUP(E897,Sales_Reps!$A:$E,3,FALSE)</f>
        <v>South</v>
      </c>
      <c r="R897" t="str">
        <f>VLOOKUP(E897,Sales_Reps!$A:$E,2,FALSE)</f>
        <v>Sanjay Kapoor</v>
      </c>
      <c r="S897">
        <f t="shared" si="13"/>
        <v>0.5953846153846154</v>
      </c>
    </row>
    <row r="898" spans="1:19" x14ac:dyDescent="0.3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  <c r="L898" t="str">
        <f>VLOOKUP(D898,Products!$A:$F,3,FALSE)</f>
        <v>Electronics</v>
      </c>
      <c r="M898" t="b">
        <f>VLOOKUP(D898,Products!$A:$F,6,FALSE)</f>
        <v>1</v>
      </c>
      <c r="N898">
        <f>VLOOKUP(D898,Products!$A:$F,4,FALSE)</f>
        <v>517</v>
      </c>
      <c r="O898" t="str">
        <f>VLOOKUP(C898,Customers!$A:$F,5,FALSE)</f>
        <v>Retail</v>
      </c>
      <c r="P898">
        <f>VLOOKUP(C898,Customers!$A:$F,3,FALSE)</f>
        <v>48</v>
      </c>
      <c r="Q898" t="str">
        <f>VLOOKUP(E898,Sales_Reps!$A:$E,3,FALSE)</f>
        <v>West</v>
      </c>
      <c r="R898" t="str">
        <f>VLOOKUP(E898,Sales_Reps!$A:$E,2,FALSE)</f>
        <v>Ashok Reddy</v>
      </c>
      <c r="S898">
        <f t="shared" si="13"/>
        <v>0.57622950819672136</v>
      </c>
    </row>
    <row r="899" spans="1:19" x14ac:dyDescent="0.3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  <c r="L899" t="str">
        <f>VLOOKUP(D899,Products!$A:$F,3,FALSE)</f>
        <v>Electronics</v>
      </c>
      <c r="M899" t="b">
        <f>VLOOKUP(D899,Products!$A:$F,6,FALSE)</f>
        <v>1</v>
      </c>
      <c r="N899">
        <f>VLOOKUP(D899,Products!$A:$F,4,FALSE)</f>
        <v>861</v>
      </c>
      <c r="O899" t="e">
        <f>VLOOKUP(C899,Customers!$A:$F,5,FALSE)</f>
        <v>#N/A</v>
      </c>
      <c r="P899" t="e">
        <f>VLOOKUP(C899,Customers!$A:$F,3,FALSE)</f>
        <v>#N/A</v>
      </c>
      <c r="Q899" t="str">
        <f>VLOOKUP(E899,Sales_Reps!$A:$E,3,FALSE)</f>
        <v>South</v>
      </c>
      <c r="R899" t="str">
        <f>VLOOKUP(E899,Sales_Reps!$A:$E,2,FALSE)</f>
        <v>Deepak Shah</v>
      </c>
      <c r="S899">
        <f t="shared" ref="S899:S962" si="14">IFERROR((G899-N899)/G899,"")</f>
        <v>0.39790209790209791</v>
      </c>
    </row>
    <row r="900" spans="1:19" x14ac:dyDescent="0.3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  <c r="L900" t="str">
        <f>VLOOKUP(D900,Products!$A:$F,3,FALSE)</f>
        <v>Beauty</v>
      </c>
      <c r="M900" t="b">
        <f>VLOOKUP(D900,Products!$A:$F,6,FALSE)</f>
        <v>1</v>
      </c>
      <c r="N900">
        <f>VLOOKUP(D900,Products!$A:$F,4,FALSE)</f>
        <v>2768</v>
      </c>
      <c r="O900" t="str">
        <f>VLOOKUP(C900,Customers!$A:$F,5,FALSE)</f>
        <v>Retail</v>
      </c>
      <c r="P900">
        <f>VLOOKUP(C900,Customers!$A:$F,3,FALSE)</f>
        <v>41</v>
      </c>
      <c r="Q900" t="str">
        <f>VLOOKUP(E900,Sales_Reps!$A:$E,3,FALSE)</f>
        <v>West</v>
      </c>
      <c r="R900" t="str">
        <f>VLOOKUP(E900,Sales_Reps!$A:$E,2,FALSE)</f>
        <v>Kiran Bhatt</v>
      </c>
      <c r="S900">
        <f t="shared" si="14"/>
        <v>0.43278688524590164</v>
      </c>
    </row>
    <row r="901" spans="1:19" x14ac:dyDescent="0.3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  <c r="L901" t="str">
        <f>VLOOKUP(D901,Products!$A:$F,3,FALSE)</f>
        <v>Beauty</v>
      </c>
      <c r="M901" t="b">
        <f>VLOOKUP(D901,Products!$A:$F,6,FALSE)</f>
        <v>1</v>
      </c>
      <c r="N901">
        <f>VLOOKUP(D901,Products!$A:$F,4,FALSE)</f>
        <v>2617</v>
      </c>
      <c r="O901" t="str">
        <f>VLOOKUP(C901,Customers!$A:$F,5,FALSE)</f>
        <v>SMB</v>
      </c>
      <c r="P901">
        <f>VLOOKUP(C901,Customers!$A:$F,3,FALSE)</f>
        <v>31</v>
      </c>
      <c r="Q901" t="str">
        <f>VLOOKUP(E901,Sales_Reps!$A:$E,3,FALSE)</f>
        <v>West</v>
      </c>
      <c r="R901" t="str">
        <f>VLOOKUP(E901,Sales_Reps!$A:$E,2,FALSE)</f>
        <v>Preeti Shah</v>
      </c>
      <c r="S901">
        <f t="shared" si="14"/>
        <v>0.56957236842105263</v>
      </c>
    </row>
    <row r="902" spans="1:19" x14ac:dyDescent="0.3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  <c r="L902" t="str">
        <f>VLOOKUP(D902,Products!$A:$F,3,FALSE)</f>
        <v>Beauty</v>
      </c>
      <c r="M902" t="b">
        <f>VLOOKUP(D902,Products!$A:$F,6,FALSE)</f>
        <v>1</v>
      </c>
      <c r="N902">
        <f>VLOOKUP(D902,Products!$A:$F,4,FALSE)</f>
        <v>1626</v>
      </c>
      <c r="O902" t="str">
        <f>VLOOKUP(C902,Customers!$A:$F,5,FALSE)</f>
        <v>Corporate</v>
      </c>
      <c r="P902">
        <f>VLOOKUP(C902,Customers!$A:$F,3,FALSE)</f>
        <v>34</v>
      </c>
      <c r="Q902" t="str">
        <f>VLOOKUP(E902,Sales_Reps!$A:$E,3,FALSE)</f>
        <v>South</v>
      </c>
      <c r="R902" t="str">
        <f>VLOOKUP(E902,Sales_Reps!$A:$E,2,FALSE)</f>
        <v>Sanjay Kapoor</v>
      </c>
      <c r="S902">
        <f t="shared" si="14"/>
        <v>0.46158940397350995</v>
      </c>
    </row>
    <row r="903" spans="1:19" x14ac:dyDescent="0.3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  <c r="L903" t="str">
        <f>VLOOKUP(D903,Products!$A:$F,3,FALSE)</f>
        <v>Apparel</v>
      </c>
      <c r="M903" t="b">
        <f>VLOOKUP(D903,Products!$A:$F,6,FALSE)</f>
        <v>1</v>
      </c>
      <c r="N903">
        <f>VLOOKUP(D903,Products!$A:$F,4,FALSE)</f>
        <v>1962</v>
      </c>
      <c r="O903" t="str">
        <f>VLOOKUP(C903,Customers!$A:$F,5,FALSE)</f>
        <v>Corporate</v>
      </c>
      <c r="P903">
        <f>VLOOKUP(C903,Customers!$A:$F,3,FALSE)</f>
        <v>59</v>
      </c>
      <c r="Q903" t="str">
        <f>VLOOKUP(E903,Sales_Reps!$A:$E,3,FALSE)</f>
        <v>South</v>
      </c>
      <c r="R903" t="str">
        <f>VLOOKUP(E903,Sales_Reps!$A:$E,2,FALSE)</f>
        <v>Sanjay Kapoor</v>
      </c>
      <c r="S903">
        <f t="shared" si="14"/>
        <v>0.2786764705882353</v>
      </c>
    </row>
    <row r="904" spans="1:19" x14ac:dyDescent="0.3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  <c r="L904" t="str">
        <f>VLOOKUP(D904,Products!$A:$F,3,FALSE)</f>
        <v>Electronics</v>
      </c>
      <c r="M904" t="b">
        <f>VLOOKUP(D904,Products!$A:$F,6,FALSE)</f>
        <v>1</v>
      </c>
      <c r="N904">
        <f>VLOOKUP(D904,Products!$A:$F,4,FALSE)</f>
        <v>1665</v>
      </c>
      <c r="O904" t="str">
        <f>VLOOKUP(C904,Customers!$A:$F,5,FALSE)</f>
        <v>SMB</v>
      </c>
      <c r="P904">
        <f>VLOOKUP(C904,Customers!$A:$F,3,FALSE)</f>
        <v>55</v>
      </c>
      <c r="Q904" t="str">
        <f>VLOOKUP(E904,Sales_Reps!$A:$E,3,FALSE)</f>
        <v>West</v>
      </c>
      <c r="R904" t="str">
        <f>VLOOKUP(E904,Sales_Reps!$A:$E,2,FALSE)</f>
        <v>Ashok Reddy</v>
      </c>
      <c r="S904">
        <f t="shared" si="14"/>
        <v>0.53361344537815125</v>
      </c>
    </row>
    <row r="905" spans="1:19" x14ac:dyDescent="0.3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  <c r="L905" t="str">
        <f>VLOOKUP(D905,Products!$A:$F,3,FALSE)</f>
        <v>Home</v>
      </c>
      <c r="M905" t="b">
        <f>VLOOKUP(D905,Products!$A:$F,6,FALSE)</f>
        <v>1</v>
      </c>
      <c r="N905">
        <f>VLOOKUP(D905,Products!$A:$F,4,FALSE)</f>
        <v>519</v>
      </c>
      <c r="O905" t="str">
        <f>VLOOKUP(C905,Customers!$A:$F,5,FALSE)</f>
        <v>SMB</v>
      </c>
      <c r="P905">
        <f>VLOOKUP(C905,Customers!$A:$F,3,FALSE)</f>
        <v>47</v>
      </c>
      <c r="Q905" t="str">
        <f>VLOOKUP(E905,Sales_Reps!$A:$E,3,FALSE)</f>
        <v>South</v>
      </c>
      <c r="R905" t="str">
        <f>VLOOKUP(E905,Sales_Reps!$A:$E,2,FALSE)</f>
        <v>Ritu Menon</v>
      </c>
      <c r="S905">
        <f t="shared" si="14"/>
        <v>0.51944444444444449</v>
      </c>
    </row>
    <row r="906" spans="1:19" x14ac:dyDescent="0.3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  <c r="L906" t="str">
        <f>VLOOKUP(D906,Products!$A:$F,3,FALSE)</f>
        <v>Home</v>
      </c>
      <c r="M906" t="b">
        <f>VLOOKUP(D906,Products!$A:$F,6,FALSE)</f>
        <v>1</v>
      </c>
      <c r="N906">
        <f>VLOOKUP(D906,Products!$A:$F,4,FALSE)</f>
        <v>464</v>
      </c>
      <c r="O906" t="str">
        <f>VLOOKUP(C906,Customers!$A:$F,5,FALSE)</f>
        <v>Retail</v>
      </c>
      <c r="P906">
        <f>VLOOKUP(C906,Customers!$A:$F,3,FALSE)</f>
        <v>37</v>
      </c>
      <c r="Q906" t="str">
        <f>VLOOKUP(E906,Sales_Reps!$A:$E,3,FALSE)</f>
        <v>South</v>
      </c>
      <c r="R906" t="str">
        <f>VLOOKUP(E906,Sales_Reps!$A:$E,2,FALSE)</f>
        <v>Anil Verma</v>
      </c>
      <c r="S906">
        <f t="shared" si="14"/>
        <v>0.57431192660550456</v>
      </c>
    </row>
    <row r="907" spans="1:19" x14ac:dyDescent="0.3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  <c r="L907" t="str">
        <f>VLOOKUP(D907,Products!$A:$F,3,FALSE)</f>
        <v>Apparel</v>
      </c>
      <c r="M907" t="b">
        <f>VLOOKUP(D907,Products!$A:$F,6,FALSE)</f>
        <v>1</v>
      </c>
      <c r="N907">
        <f>VLOOKUP(D907,Products!$A:$F,4,FALSE)</f>
        <v>2629</v>
      </c>
      <c r="O907" t="str">
        <f>VLOOKUP(C907,Customers!$A:$F,5,FALSE)</f>
        <v>SMB</v>
      </c>
      <c r="P907">
        <f>VLOOKUP(C907,Customers!$A:$F,3,FALSE)</f>
        <v>51</v>
      </c>
      <c r="Q907" t="str">
        <f>VLOOKUP(E907,Sales_Reps!$A:$E,3,FALSE)</f>
        <v>West</v>
      </c>
      <c r="R907" t="str">
        <f>VLOOKUP(E907,Sales_Reps!$A:$E,2,FALSE)</f>
        <v>Ramesh Bhatt</v>
      </c>
      <c r="S907">
        <f t="shared" si="14"/>
        <v>0.26151685393258428</v>
      </c>
    </row>
    <row r="908" spans="1:19" x14ac:dyDescent="0.3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  <c r="L908" t="str">
        <f>VLOOKUP(D908,Products!$A:$F,3,FALSE)</f>
        <v>Sports</v>
      </c>
      <c r="M908" t="b">
        <f>VLOOKUP(D908,Products!$A:$F,6,FALSE)</f>
        <v>1</v>
      </c>
      <c r="N908">
        <f>VLOOKUP(D908,Products!$A:$F,4,FALSE)</f>
        <v>147</v>
      </c>
      <c r="O908" t="str">
        <f>VLOOKUP(C908,Customers!$A:$F,5,FALSE)</f>
        <v>SMB</v>
      </c>
      <c r="P908">
        <f>VLOOKUP(C908,Customers!$A:$F,3,FALSE)</f>
        <v>54</v>
      </c>
      <c r="Q908" t="str">
        <f>VLOOKUP(E908,Sales_Reps!$A:$E,3,FALSE)</f>
        <v>East</v>
      </c>
      <c r="R908" t="str">
        <f>VLOOKUP(E908,Sales_Reps!$A:$E,2,FALSE)</f>
        <v>Nisha Menon</v>
      </c>
      <c r="S908">
        <f t="shared" si="14"/>
        <v>0.22631578947368422</v>
      </c>
    </row>
    <row r="909" spans="1:19" x14ac:dyDescent="0.3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  <c r="L909" t="str">
        <f>VLOOKUP(D909,Products!$A:$F,3,FALSE)</f>
        <v>Grocery</v>
      </c>
      <c r="M909" t="b">
        <f>VLOOKUP(D909,Products!$A:$F,6,FALSE)</f>
        <v>1</v>
      </c>
      <c r="N909">
        <f>VLOOKUP(D909,Products!$A:$F,4,FALSE)</f>
        <v>2911</v>
      </c>
      <c r="O909" t="str">
        <f>VLOOKUP(C909,Customers!$A:$F,5,FALSE)</f>
        <v>Retail</v>
      </c>
      <c r="P909">
        <f>VLOOKUP(C909,Customers!$A:$F,3,FALSE)</f>
        <v>24</v>
      </c>
      <c r="Q909" t="str">
        <f>VLOOKUP(E909,Sales_Reps!$A:$E,3,FALSE)</f>
        <v>West</v>
      </c>
      <c r="R909" t="str">
        <f>VLOOKUP(E909,Sales_Reps!$A:$E,2,FALSE)</f>
        <v>Ashok Reddy</v>
      </c>
      <c r="S909">
        <f t="shared" si="14"/>
        <v>0.28300492610837441</v>
      </c>
    </row>
    <row r="910" spans="1:19" x14ac:dyDescent="0.3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  <c r="L910" t="str">
        <f>VLOOKUP(D910,Products!$A:$F,3,FALSE)</f>
        <v>Home</v>
      </c>
      <c r="M910" t="b">
        <f>VLOOKUP(D910,Products!$A:$F,6,FALSE)</f>
        <v>1</v>
      </c>
      <c r="N910">
        <f>VLOOKUP(D910,Products!$A:$F,4,FALSE)</f>
        <v>1850</v>
      </c>
      <c r="O910" t="str">
        <f>VLOOKUP(C910,Customers!$A:$F,5,FALSE)</f>
        <v>Corporate</v>
      </c>
      <c r="P910">
        <f>VLOOKUP(C910,Customers!$A:$F,3,FALSE)</f>
        <v>40</v>
      </c>
      <c r="Q910" t="str">
        <f>VLOOKUP(E910,Sales_Reps!$A:$E,3,FALSE)</f>
        <v>East</v>
      </c>
      <c r="R910" t="str">
        <f>VLOOKUP(E910,Sales_Reps!$A:$E,2,FALSE)</f>
        <v>Gaurav Desai</v>
      </c>
      <c r="S910">
        <f t="shared" si="14"/>
        <v>0.59869848156182215</v>
      </c>
    </row>
    <row r="911" spans="1:19" x14ac:dyDescent="0.3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  <c r="L911" t="str">
        <f>VLOOKUP(D911,Products!$A:$F,3,FALSE)</f>
        <v>Grocery</v>
      </c>
      <c r="M911" t="b">
        <f>VLOOKUP(D911,Products!$A:$F,6,FALSE)</f>
        <v>1</v>
      </c>
      <c r="N911">
        <f>VLOOKUP(D911,Products!$A:$F,4,FALSE)</f>
        <v>2027</v>
      </c>
      <c r="O911" t="str">
        <f>VLOOKUP(C911,Customers!$A:$F,5,FALSE)</f>
        <v>Corporate</v>
      </c>
      <c r="P911">
        <f>VLOOKUP(C911,Customers!$A:$F,3,FALSE)</f>
        <v>22</v>
      </c>
      <c r="Q911" t="str">
        <f>VLOOKUP(E911,Sales_Reps!$A:$E,3,FALSE)</f>
        <v>East</v>
      </c>
      <c r="R911" t="str">
        <f>VLOOKUP(E911,Sales_Reps!$A:$E,2,FALSE)</f>
        <v>Meera Iyer</v>
      </c>
      <c r="S911">
        <f t="shared" si="14"/>
        <v>0.50196560196560192</v>
      </c>
    </row>
    <row r="912" spans="1:19" x14ac:dyDescent="0.3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  <c r="L912" t="str">
        <f>VLOOKUP(D912,Products!$A:$F,3,FALSE)</f>
        <v>Apparel</v>
      </c>
      <c r="M912" t="b">
        <f>VLOOKUP(D912,Products!$A:$F,6,FALSE)</f>
        <v>1</v>
      </c>
      <c r="N912">
        <f>VLOOKUP(D912,Products!$A:$F,4,FALSE)</f>
        <v>2509</v>
      </c>
      <c r="O912" t="str">
        <f>VLOOKUP(C912,Customers!$A:$F,5,FALSE)</f>
        <v>Retail</v>
      </c>
      <c r="P912">
        <f>VLOOKUP(C912,Customers!$A:$F,3,FALSE)</f>
        <v>27</v>
      </c>
      <c r="Q912" t="str">
        <f>VLOOKUP(E912,Sales_Reps!$A:$E,3,FALSE)</f>
        <v>North</v>
      </c>
      <c r="R912" t="str">
        <f>VLOOKUP(E912,Sales_Reps!$A:$E,2,FALSE)</f>
        <v>Priya Singh</v>
      </c>
      <c r="S912">
        <f t="shared" si="14"/>
        <v>0.3069060773480663</v>
      </c>
    </row>
    <row r="913" spans="1:19" x14ac:dyDescent="0.3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  <c r="L913" t="str">
        <f>VLOOKUP(D913,Products!$A:$F,3,FALSE)</f>
        <v>Electronics</v>
      </c>
      <c r="M913" t="b">
        <f>VLOOKUP(D913,Products!$A:$F,6,FALSE)</f>
        <v>1</v>
      </c>
      <c r="N913">
        <f>VLOOKUP(D913,Products!$A:$F,4,FALSE)</f>
        <v>2865</v>
      </c>
      <c r="O913" t="str">
        <f>VLOOKUP(C913,Customers!$A:$F,5,FALSE)</f>
        <v>SMB</v>
      </c>
      <c r="P913">
        <f>VLOOKUP(C913,Customers!$A:$F,3,FALSE)</f>
        <v>57</v>
      </c>
      <c r="Q913" t="str">
        <f>VLOOKUP(E913,Sales_Reps!$A:$E,3,FALSE)</f>
        <v>West</v>
      </c>
      <c r="R913" t="str">
        <f>VLOOKUP(E913,Sales_Reps!$A:$E,2,FALSE)</f>
        <v>Kiran Bhatt</v>
      </c>
      <c r="S913">
        <f t="shared" si="14"/>
        <v>0.27833753148614609</v>
      </c>
    </row>
    <row r="914" spans="1:19" x14ac:dyDescent="0.3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  <c r="L914" t="str">
        <f>VLOOKUP(D914,Products!$A:$F,3,FALSE)</f>
        <v>Grocery</v>
      </c>
      <c r="M914" t="b">
        <f>VLOOKUP(D914,Products!$A:$F,6,FALSE)</f>
        <v>1</v>
      </c>
      <c r="N914">
        <f>VLOOKUP(D914,Products!$A:$F,4,FALSE)</f>
        <v>434</v>
      </c>
      <c r="O914" t="str">
        <f>VLOOKUP(C914,Customers!$A:$F,5,FALSE)</f>
        <v>Corporate</v>
      </c>
      <c r="P914">
        <f>VLOOKUP(C914,Customers!$A:$F,3,FALSE)</f>
        <v>42</v>
      </c>
      <c r="Q914" t="str">
        <f>VLOOKUP(E914,Sales_Reps!$A:$E,3,FALSE)</f>
        <v>West</v>
      </c>
      <c r="R914" t="str">
        <f>VLOOKUP(E914,Sales_Reps!$A:$E,2,FALSE)</f>
        <v>Preeti Shah</v>
      </c>
      <c r="S914">
        <f t="shared" si="14"/>
        <v>0.5525773195876289</v>
      </c>
    </row>
    <row r="915" spans="1:19" x14ac:dyDescent="0.3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  <c r="L915" t="str">
        <f>VLOOKUP(D915,Products!$A:$F,3,FALSE)</f>
        <v>Sports</v>
      </c>
      <c r="M915" t="b">
        <f>VLOOKUP(D915,Products!$A:$F,6,FALSE)</f>
        <v>1</v>
      </c>
      <c r="N915">
        <f>VLOOKUP(D915,Products!$A:$F,4,FALSE)</f>
        <v>705</v>
      </c>
      <c r="O915" t="str">
        <f>VLOOKUP(C915,Customers!$A:$F,5,FALSE)</f>
        <v>Retail</v>
      </c>
      <c r="P915">
        <f>VLOOKUP(C915,Customers!$A:$F,3,FALSE)</f>
        <v>29</v>
      </c>
      <c r="Q915" t="str">
        <f>VLOOKUP(E915,Sales_Reps!$A:$E,3,FALSE)</f>
        <v>East</v>
      </c>
      <c r="R915" t="str">
        <f>VLOOKUP(E915,Sales_Reps!$A:$E,2,FALSE)</f>
        <v>Vinod Kumar</v>
      </c>
      <c r="S915">
        <f t="shared" si="14"/>
        <v>0.265625</v>
      </c>
    </row>
    <row r="916" spans="1:19" x14ac:dyDescent="0.3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  <c r="L916" t="str">
        <f>VLOOKUP(D916,Products!$A:$F,3,FALSE)</f>
        <v>Electronics</v>
      </c>
      <c r="M916" t="b">
        <f>VLOOKUP(D916,Products!$A:$F,6,FALSE)</f>
        <v>1</v>
      </c>
      <c r="N916">
        <f>VLOOKUP(D916,Products!$A:$F,4,FALSE)</f>
        <v>128</v>
      </c>
      <c r="O916" t="str">
        <f>VLOOKUP(C916,Customers!$A:$F,5,FALSE)</f>
        <v>Retail</v>
      </c>
      <c r="P916">
        <f>VLOOKUP(C916,Customers!$A:$F,3,FALSE)</f>
        <v>54</v>
      </c>
      <c r="Q916" t="str">
        <f>VLOOKUP(E916,Sales_Reps!$A:$E,3,FALSE)</f>
        <v>South</v>
      </c>
      <c r="R916" t="str">
        <f>VLOOKUP(E916,Sales_Reps!$A:$E,2,FALSE)</f>
        <v>Anjali Chopra</v>
      </c>
      <c r="S916">
        <f t="shared" si="14"/>
        <v>0.57333333333333336</v>
      </c>
    </row>
    <row r="917" spans="1:19" x14ac:dyDescent="0.3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  <c r="L917" t="str">
        <f>VLOOKUP(D917,Products!$A:$F,3,FALSE)</f>
        <v>Electronics</v>
      </c>
      <c r="M917" t="b">
        <f>VLOOKUP(D917,Products!$A:$F,6,FALSE)</f>
        <v>1</v>
      </c>
      <c r="N917">
        <f>VLOOKUP(D917,Products!$A:$F,4,FALSE)</f>
        <v>1052</v>
      </c>
      <c r="O917" t="str">
        <f>VLOOKUP(C917,Customers!$A:$F,5,FALSE)</f>
        <v>Retail</v>
      </c>
      <c r="P917">
        <f>VLOOKUP(C917,Customers!$A:$F,3,FALSE)</f>
        <v>46</v>
      </c>
      <c r="Q917" t="str">
        <f>VLOOKUP(E917,Sales_Reps!$A:$E,3,FALSE)</f>
        <v>South</v>
      </c>
      <c r="R917" t="str">
        <f>VLOOKUP(E917,Sales_Reps!$A:$E,2,FALSE)</f>
        <v>Ritu Menon</v>
      </c>
      <c r="S917">
        <f t="shared" si="14"/>
        <v>0.5953846153846154</v>
      </c>
    </row>
    <row r="918" spans="1:19" x14ac:dyDescent="0.3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  <c r="L918" t="str">
        <f>VLOOKUP(D918,Products!$A:$F,3,FALSE)</f>
        <v>Home</v>
      </c>
      <c r="M918" t="b">
        <f>VLOOKUP(D918,Products!$A:$F,6,FALSE)</f>
        <v>1</v>
      </c>
      <c r="N918">
        <f>VLOOKUP(D918,Products!$A:$F,4,FALSE)</f>
        <v>288</v>
      </c>
      <c r="O918" t="str">
        <f>VLOOKUP(C918,Customers!$A:$F,5,FALSE)</f>
        <v>Retail</v>
      </c>
      <c r="P918">
        <f>VLOOKUP(C918,Customers!$A:$F,3,FALSE)</f>
        <v>49</v>
      </c>
      <c r="Q918" t="str">
        <f>VLOOKUP(E918,Sales_Reps!$A:$E,3,FALSE)</f>
        <v>North</v>
      </c>
      <c r="R918" t="str">
        <f>VLOOKUP(E918,Sales_Reps!$A:$E,2,FALSE)</f>
        <v>Kavita Patel</v>
      </c>
      <c r="S918">
        <f t="shared" si="14"/>
        <v>0.22162162162162163</v>
      </c>
    </row>
    <row r="919" spans="1:19" x14ac:dyDescent="0.3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  <c r="L919" t="str">
        <f>VLOOKUP(D919,Products!$A:$F,3,FALSE)</f>
        <v>Beauty</v>
      </c>
      <c r="M919" t="b">
        <f>VLOOKUP(D919,Products!$A:$F,6,FALSE)</f>
        <v>1</v>
      </c>
      <c r="N919">
        <f>VLOOKUP(D919,Products!$A:$F,4,FALSE)</f>
        <v>2420</v>
      </c>
      <c r="O919" t="str">
        <f>VLOOKUP(C919,Customers!$A:$F,5,FALSE)</f>
        <v>Corporate</v>
      </c>
      <c r="P919">
        <f>VLOOKUP(C919,Customers!$A:$F,3,FALSE)</f>
        <v>55</v>
      </c>
      <c r="Q919" t="str">
        <f>VLOOKUP(E919,Sales_Reps!$A:$E,3,FALSE)</f>
        <v>West</v>
      </c>
      <c r="R919" t="str">
        <f>VLOOKUP(E919,Sales_Reps!$A:$E,2,FALSE)</f>
        <v>Sonia Malhotra</v>
      </c>
      <c r="S919">
        <f t="shared" si="14"/>
        <v>0.29855072463768118</v>
      </c>
    </row>
    <row r="920" spans="1:19" x14ac:dyDescent="0.3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  <c r="L920" t="str">
        <f>VLOOKUP(D920,Products!$A:$F,3,FALSE)</f>
        <v>Apparel</v>
      </c>
      <c r="M920" t="b">
        <f>VLOOKUP(D920,Products!$A:$F,6,FALSE)</f>
        <v>1</v>
      </c>
      <c r="N920">
        <f>VLOOKUP(D920,Products!$A:$F,4,FALSE)</f>
        <v>1173</v>
      </c>
      <c r="O920" t="str">
        <f>VLOOKUP(C920,Customers!$A:$F,5,FALSE)</f>
        <v>SMB</v>
      </c>
      <c r="P920">
        <f>VLOOKUP(C920,Customers!$A:$F,3,FALSE)</f>
        <v>29</v>
      </c>
      <c r="Q920" t="str">
        <f>VLOOKUP(E920,Sales_Reps!$A:$E,3,FALSE)</f>
        <v>East</v>
      </c>
      <c r="R920" t="str">
        <f>VLOOKUP(E920,Sales_Reps!$A:$E,2,FALSE)</f>
        <v>Meera Iyer</v>
      </c>
      <c r="S920">
        <f t="shared" si="14"/>
        <v>0.52701612903225803</v>
      </c>
    </row>
    <row r="921" spans="1:19" x14ac:dyDescent="0.3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  <c r="L921" t="str">
        <f>VLOOKUP(D921,Products!$A:$F,3,FALSE)</f>
        <v>Grocery</v>
      </c>
      <c r="M921" t="b">
        <f>VLOOKUP(D921,Products!$A:$F,6,FALSE)</f>
        <v>0</v>
      </c>
      <c r="N921">
        <f>VLOOKUP(D921,Products!$A:$F,4,FALSE)</f>
        <v>2214</v>
      </c>
      <c r="O921" t="str">
        <f>VLOOKUP(C921,Customers!$A:$F,5,FALSE)</f>
        <v>Corporate</v>
      </c>
      <c r="P921">
        <f>VLOOKUP(C921,Customers!$A:$F,3,FALSE)</f>
        <v>60</v>
      </c>
      <c r="Q921" t="str">
        <f>VLOOKUP(E921,Sales_Reps!$A:$E,3,FALSE)</f>
        <v>East</v>
      </c>
      <c r="R921" t="str">
        <f>VLOOKUP(E921,Sales_Reps!$A:$E,2,FALSE)</f>
        <v>Prakash Shah</v>
      </c>
      <c r="S921">
        <f t="shared" si="14"/>
        <v>0.39508196721311473</v>
      </c>
    </row>
    <row r="922" spans="1:19" x14ac:dyDescent="0.3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  <c r="L922" t="str">
        <f>VLOOKUP(D922,Products!$A:$F,3,FALSE)</f>
        <v>Beauty</v>
      </c>
      <c r="M922" t="b">
        <f>VLOOKUP(D922,Products!$A:$F,6,FALSE)</f>
        <v>1</v>
      </c>
      <c r="N922">
        <f>VLOOKUP(D922,Products!$A:$F,4,FALSE)</f>
        <v>1222</v>
      </c>
      <c r="O922" t="str">
        <f>VLOOKUP(C922,Customers!$A:$F,5,FALSE)</f>
        <v>Retail</v>
      </c>
      <c r="P922">
        <f>VLOOKUP(C922,Customers!$A:$F,3,FALSE)</f>
        <v>26</v>
      </c>
      <c r="Q922" t="str">
        <f>VLOOKUP(E922,Sales_Reps!$A:$E,3,FALSE)</f>
        <v>East</v>
      </c>
      <c r="R922" t="str">
        <f>VLOOKUP(E922,Sales_Reps!$A:$E,2,FALSE)</f>
        <v>Vinod Kumar</v>
      </c>
      <c r="S922">
        <f t="shared" si="14"/>
        <v>0.2593939393939394</v>
      </c>
    </row>
    <row r="923" spans="1:19" x14ac:dyDescent="0.3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  <c r="L923" t="str">
        <f>VLOOKUP(D923,Products!$A:$F,3,FALSE)</f>
        <v>Sports</v>
      </c>
      <c r="M923" t="b">
        <f>VLOOKUP(D923,Products!$A:$F,6,FALSE)</f>
        <v>1</v>
      </c>
      <c r="N923">
        <f>VLOOKUP(D923,Products!$A:$F,4,FALSE)</f>
        <v>147</v>
      </c>
      <c r="O923" t="str">
        <f>VLOOKUP(C923,Customers!$A:$F,5,FALSE)</f>
        <v>Corporate</v>
      </c>
      <c r="P923">
        <f>VLOOKUP(C923,Customers!$A:$F,3,FALSE)</f>
        <v>56</v>
      </c>
      <c r="Q923" t="str">
        <f>VLOOKUP(E923,Sales_Reps!$A:$E,3,FALSE)</f>
        <v>West</v>
      </c>
      <c r="R923" t="str">
        <f>VLOOKUP(E923,Sales_Reps!$A:$E,2,FALSE)</f>
        <v>Ashok Reddy</v>
      </c>
      <c r="S923">
        <f t="shared" si="14"/>
        <v>0.22631578947368422</v>
      </c>
    </row>
    <row r="924" spans="1:19" x14ac:dyDescent="0.3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  <c r="L924" t="str">
        <f>VLOOKUP(D924,Products!$A:$F,3,FALSE)</f>
        <v>Grocery</v>
      </c>
      <c r="M924" t="b">
        <f>VLOOKUP(D924,Products!$A:$F,6,FALSE)</f>
        <v>1</v>
      </c>
      <c r="N924">
        <f>VLOOKUP(D924,Products!$A:$F,4,FALSE)</f>
        <v>1412</v>
      </c>
      <c r="O924" t="str">
        <f>VLOOKUP(C924,Customers!$A:$F,5,FALSE)</f>
        <v>Corporate</v>
      </c>
      <c r="P924">
        <f>VLOOKUP(C924,Customers!$A:$F,3,FALSE)</f>
        <v>40</v>
      </c>
      <c r="Q924" t="str">
        <f>VLOOKUP(E924,Sales_Reps!$A:$E,3,FALSE)</f>
        <v>North</v>
      </c>
      <c r="R924" t="str">
        <f>VLOOKUP(E924,Sales_Reps!$A:$E,2,FALSE)</f>
        <v>Rajesh Malhotra</v>
      </c>
      <c r="S924">
        <f t="shared" si="14"/>
        <v>0.37797356828193834</v>
      </c>
    </row>
    <row r="925" spans="1:19" x14ac:dyDescent="0.3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  <c r="L925" t="str">
        <f>VLOOKUP(D925,Products!$A:$F,3,FALSE)</f>
        <v>Grocery</v>
      </c>
      <c r="M925" t="b">
        <f>VLOOKUP(D925,Products!$A:$F,6,FALSE)</f>
        <v>1</v>
      </c>
      <c r="N925">
        <f>VLOOKUP(D925,Products!$A:$F,4,FALSE)</f>
        <v>1203</v>
      </c>
      <c r="O925" t="str">
        <f>VLOOKUP(C925,Customers!$A:$F,5,FALSE)</f>
        <v>Retail</v>
      </c>
      <c r="P925">
        <f>VLOOKUP(C925,Customers!$A:$F,3,FALSE)</f>
        <v>61</v>
      </c>
      <c r="Q925" t="str">
        <f>VLOOKUP(E925,Sales_Reps!$A:$E,3,FALSE)</f>
        <v>South</v>
      </c>
      <c r="R925" t="str">
        <f>VLOOKUP(E925,Sales_Reps!$A:$E,2,FALSE)</f>
        <v>Anil Verma</v>
      </c>
      <c r="S925">
        <f t="shared" si="14"/>
        <v>0.47004405286343615</v>
      </c>
    </row>
    <row r="926" spans="1:19" x14ac:dyDescent="0.3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  <c r="L926" t="str">
        <f>VLOOKUP(D926,Products!$A:$F,3,FALSE)</f>
        <v>Apparel</v>
      </c>
      <c r="M926" t="b">
        <f>VLOOKUP(D926,Products!$A:$F,6,FALSE)</f>
        <v>1</v>
      </c>
      <c r="N926">
        <f>VLOOKUP(D926,Products!$A:$F,4,FALSE)</f>
        <v>1748</v>
      </c>
      <c r="O926" t="str">
        <f>VLOOKUP(C926,Customers!$A:$F,5,FALSE)</f>
        <v>Retail</v>
      </c>
      <c r="P926">
        <f>VLOOKUP(C926,Customers!$A:$F,3,FALSE)</f>
        <v>52</v>
      </c>
      <c r="Q926" t="str">
        <f>VLOOKUP(E926,Sales_Reps!$A:$E,3,FALSE)</f>
        <v>East</v>
      </c>
      <c r="R926" t="str">
        <f>VLOOKUP(E926,Sales_Reps!$A:$E,2,FALSE)</f>
        <v>Shalini Patel</v>
      </c>
      <c r="S926">
        <f t="shared" si="14"/>
        <v>0.49333333333333335</v>
      </c>
    </row>
    <row r="927" spans="1:19" x14ac:dyDescent="0.3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  <c r="L927" t="str">
        <f>VLOOKUP(D927,Products!$A:$F,3,FALSE)</f>
        <v>Beauty</v>
      </c>
      <c r="M927" t="b">
        <f>VLOOKUP(D927,Products!$A:$F,6,FALSE)</f>
        <v>1</v>
      </c>
      <c r="N927">
        <f>VLOOKUP(D927,Products!$A:$F,4,FALSE)</f>
        <v>1626</v>
      </c>
      <c r="O927" t="str">
        <f>VLOOKUP(C927,Customers!$A:$F,5,FALSE)</f>
        <v>Retail</v>
      </c>
      <c r="P927">
        <f>VLOOKUP(C927,Customers!$A:$F,3,FALSE)</f>
        <v>44</v>
      </c>
      <c r="Q927" t="str">
        <f>VLOOKUP(E927,Sales_Reps!$A:$E,3,FALSE)</f>
        <v>West</v>
      </c>
      <c r="R927" t="str">
        <f>VLOOKUP(E927,Sales_Reps!$A:$E,2,FALSE)</f>
        <v>Preeti Shah</v>
      </c>
      <c r="S927">
        <f t="shared" si="14"/>
        <v>0.46158940397350995</v>
      </c>
    </row>
    <row r="928" spans="1:19" x14ac:dyDescent="0.3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  <c r="L928" t="str">
        <f>VLOOKUP(D928,Products!$A:$F,3,FALSE)</f>
        <v>Home</v>
      </c>
      <c r="M928" t="b">
        <f>VLOOKUP(D928,Products!$A:$F,6,FALSE)</f>
        <v>1</v>
      </c>
      <c r="N928">
        <f>VLOOKUP(D928,Products!$A:$F,4,FALSE)</f>
        <v>1143</v>
      </c>
      <c r="O928" t="str">
        <f>VLOOKUP(C928,Customers!$A:$F,5,FALSE)</f>
        <v>Retail</v>
      </c>
      <c r="P928">
        <f>VLOOKUP(C928,Customers!$A:$F,3,FALSE)</f>
        <v>47</v>
      </c>
      <c r="Q928" t="str">
        <f>VLOOKUP(E928,Sales_Reps!$A:$E,3,FALSE)</f>
        <v>South</v>
      </c>
      <c r="R928" t="str">
        <f>VLOOKUP(E928,Sales_Reps!$A:$E,2,FALSE)</f>
        <v>Anjali Chopra</v>
      </c>
      <c r="S928">
        <f t="shared" si="14"/>
        <v>0.43694581280788175</v>
      </c>
    </row>
    <row r="929" spans="1:19" x14ac:dyDescent="0.3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  <c r="L929" t="str">
        <f>VLOOKUP(D929,Products!$A:$F,3,FALSE)</f>
        <v>Apparel</v>
      </c>
      <c r="M929" t="b">
        <f>VLOOKUP(D929,Products!$A:$F,6,FALSE)</f>
        <v>1</v>
      </c>
      <c r="N929">
        <f>VLOOKUP(D929,Products!$A:$F,4,FALSE)</f>
        <v>1748</v>
      </c>
      <c r="O929" t="str">
        <f>VLOOKUP(C929,Customers!$A:$F,5,FALSE)</f>
        <v>Retail</v>
      </c>
      <c r="P929">
        <f>VLOOKUP(C929,Customers!$A:$F,3,FALSE)</f>
        <v>38</v>
      </c>
      <c r="Q929" t="str">
        <f>VLOOKUP(E929,Sales_Reps!$A:$E,3,FALSE)</f>
        <v>South</v>
      </c>
      <c r="R929" t="str">
        <f>VLOOKUP(E929,Sales_Reps!$A:$E,2,FALSE)</f>
        <v>Ritu Menon</v>
      </c>
      <c r="S929">
        <f t="shared" si="14"/>
        <v>0.49333333333333335</v>
      </c>
    </row>
    <row r="930" spans="1:19" x14ac:dyDescent="0.3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  <c r="L930" t="str">
        <f>VLOOKUP(D930,Products!$A:$F,3,FALSE)</f>
        <v>Beauty</v>
      </c>
      <c r="M930" t="b">
        <f>VLOOKUP(D930,Products!$A:$F,6,FALSE)</f>
        <v>1</v>
      </c>
      <c r="N930">
        <f>VLOOKUP(D930,Products!$A:$F,4,FALSE)</f>
        <v>675</v>
      </c>
      <c r="O930" t="str">
        <f>VLOOKUP(C930,Customers!$A:$F,5,FALSE)</f>
        <v>Retail</v>
      </c>
      <c r="P930">
        <f>VLOOKUP(C930,Customers!$A:$F,3,FALSE)</f>
        <v>44</v>
      </c>
      <c r="Q930" t="str">
        <f>VLOOKUP(E930,Sales_Reps!$A:$E,3,FALSE)</f>
        <v>West</v>
      </c>
      <c r="R930" t="str">
        <f>VLOOKUP(E930,Sales_Reps!$A:$E,2,FALSE)</f>
        <v>Preeti Shah</v>
      </c>
      <c r="S930">
        <f t="shared" si="14"/>
        <v>0.296875</v>
      </c>
    </row>
    <row r="931" spans="1:19" x14ac:dyDescent="0.3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  <c r="L931" t="str">
        <f>VLOOKUP(D931,Products!$A:$F,3,FALSE)</f>
        <v>Electronics</v>
      </c>
      <c r="M931" t="b">
        <f>VLOOKUP(D931,Products!$A:$F,6,FALSE)</f>
        <v>1</v>
      </c>
      <c r="N931">
        <f>VLOOKUP(D931,Products!$A:$F,4,FALSE)</f>
        <v>2865</v>
      </c>
      <c r="O931" t="str">
        <f>VLOOKUP(C931,Customers!$A:$F,5,FALSE)</f>
        <v>Retail</v>
      </c>
      <c r="P931">
        <f>VLOOKUP(C931,Customers!$A:$F,3,FALSE)</f>
        <v>52</v>
      </c>
      <c r="Q931" t="str">
        <f>VLOOKUP(E931,Sales_Reps!$A:$E,3,FALSE)</f>
        <v>North</v>
      </c>
      <c r="R931" t="str">
        <f>VLOOKUP(E931,Sales_Reps!$A:$E,2,FALSE)</f>
        <v>Rajesh Malhotra</v>
      </c>
      <c r="S931">
        <f t="shared" si="14"/>
        <v>0.27833753148614609</v>
      </c>
    </row>
    <row r="932" spans="1:19" x14ac:dyDescent="0.3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  <c r="L932" t="str">
        <f>VLOOKUP(D932,Products!$A:$F,3,FALSE)</f>
        <v>Sports</v>
      </c>
      <c r="M932" t="b">
        <f>VLOOKUP(D932,Products!$A:$F,6,FALSE)</f>
        <v>1</v>
      </c>
      <c r="N932">
        <f>VLOOKUP(D932,Products!$A:$F,4,FALSE)</f>
        <v>2265</v>
      </c>
      <c r="O932" t="str">
        <f>VLOOKUP(C932,Customers!$A:$F,5,FALSE)</f>
        <v>Corporate</v>
      </c>
      <c r="P932">
        <f>VLOOKUP(C932,Customers!$A:$F,3,FALSE)</f>
        <v>46</v>
      </c>
      <c r="Q932" t="str">
        <f>VLOOKUP(E932,Sales_Reps!$A:$E,3,FALSE)</f>
        <v>West</v>
      </c>
      <c r="R932" t="str">
        <f>VLOOKUP(E932,Sales_Reps!$A:$E,2,FALSE)</f>
        <v>Sonia Malhotra</v>
      </c>
      <c r="S932">
        <f t="shared" si="14"/>
        <v>0.58133086876155271</v>
      </c>
    </row>
    <row r="933" spans="1:19" x14ac:dyDescent="0.3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  <c r="L933" t="str">
        <f>VLOOKUP(D933,Products!$A:$F,3,FALSE)</f>
        <v>Electronics</v>
      </c>
      <c r="M933" t="b">
        <f>VLOOKUP(D933,Products!$A:$F,6,FALSE)</f>
        <v>1</v>
      </c>
      <c r="N933">
        <f>VLOOKUP(D933,Products!$A:$F,4,FALSE)</f>
        <v>1665</v>
      </c>
      <c r="O933" t="str">
        <f>VLOOKUP(C933,Customers!$A:$F,5,FALSE)</f>
        <v>Corporate</v>
      </c>
      <c r="P933">
        <f>VLOOKUP(C933,Customers!$A:$F,3,FALSE)</f>
        <v>37</v>
      </c>
      <c r="Q933" t="str">
        <f>VLOOKUP(E933,Sales_Reps!$A:$E,3,FALSE)</f>
        <v>North</v>
      </c>
      <c r="R933" t="str">
        <f>VLOOKUP(E933,Sales_Reps!$A:$E,2,FALSE)</f>
        <v>Suresh Menon</v>
      </c>
      <c r="S933">
        <f t="shared" si="14"/>
        <v>0.53361344537815125</v>
      </c>
    </row>
    <row r="934" spans="1:19" x14ac:dyDescent="0.3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  <c r="L934" t="str">
        <f>VLOOKUP(D934,Products!$A:$F,3,FALSE)</f>
        <v>Electronics</v>
      </c>
      <c r="M934" t="b">
        <f>VLOOKUP(D934,Products!$A:$F,6,FALSE)</f>
        <v>1</v>
      </c>
      <c r="N934">
        <f>VLOOKUP(D934,Products!$A:$F,4,FALSE)</f>
        <v>1052</v>
      </c>
      <c r="O934" t="str">
        <f>VLOOKUP(C934,Customers!$A:$F,5,FALSE)</f>
        <v>SMB</v>
      </c>
      <c r="P934">
        <f>VLOOKUP(C934,Customers!$A:$F,3,FALSE)</f>
        <v>54</v>
      </c>
      <c r="Q934" t="str">
        <f>VLOOKUP(E934,Sales_Reps!$A:$E,3,FALSE)</f>
        <v>South</v>
      </c>
      <c r="R934" t="str">
        <f>VLOOKUP(E934,Sales_Reps!$A:$E,2,FALSE)</f>
        <v>Ritu Menon</v>
      </c>
      <c r="S934">
        <f t="shared" si="14"/>
        <v>0.5953846153846154</v>
      </c>
    </row>
    <row r="935" spans="1:19" x14ac:dyDescent="0.3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  <c r="L935" t="str">
        <f>VLOOKUP(D935,Products!$A:$F,3,FALSE)</f>
        <v>Sports</v>
      </c>
      <c r="M935" t="b">
        <f>VLOOKUP(D935,Products!$A:$F,6,FALSE)</f>
        <v>0</v>
      </c>
      <c r="N935">
        <f>VLOOKUP(D935,Products!$A:$F,4,FALSE)</f>
        <v>302</v>
      </c>
      <c r="O935" t="str">
        <f>VLOOKUP(C935,Customers!$A:$F,5,FALSE)</f>
        <v>Corporate</v>
      </c>
      <c r="P935">
        <f>VLOOKUP(C935,Customers!$A:$F,3,FALSE)</f>
        <v>55</v>
      </c>
      <c r="Q935" t="str">
        <f>VLOOKUP(E935,Sales_Reps!$A:$E,3,FALSE)</f>
        <v>West</v>
      </c>
      <c r="R935" t="str">
        <f>VLOOKUP(E935,Sales_Reps!$A:$E,2,FALSE)</f>
        <v>Sonia Malhotra</v>
      </c>
      <c r="S935">
        <f t="shared" si="14"/>
        <v>0.35744680851063831</v>
      </c>
    </row>
    <row r="936" spans="1:19" x14ac:dyDescent="0.3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  <c r="L936" t="str">
        <f>VLOOKUP(D936,Products!$A:$F,3,FALSE)</f>
        <v>Sports</v>
      </c>
      <c r="M936" t="b">
        <f>VLOOKUP(D936,Products!$A:$F,6,FALSE)</f>
        <v>0</v>
      </c>
      <c r="N936">
        <f>VLOOKUP(D936,Products!$A:$F,4,FALSE)</f>
        <v>302</v>
      </c>
      <c r="O936" t="str">
        <f>VLOOKUP(C936,Customers!$A:$F,5,FALSE)</f>
        <v>Retail</v>
      </c>
      <c r="P936">
        <f>VLOOKUP(C936,Customers!$A:$F,3,FALSE)</f>
        <v>29</v>
      </c>
      <c r="Q936" t="str">
        <f>VLOOKUP(E936,Sales_Reps!$A:$E,3,FALSE)</f>
        <v>West</v>
      </c>
      <c r="R936" t="str">
        <f>VLOOKUP(E936,Sales_Reps!$A:$E,2,FALSE)</f>
        <v>Ashok Reddy</v>
      </c>
      <c r="S936">
        <f t="shared" si="14"/>
        <v>0.35744680851063831</v>
      </c>
    </row>
    <row r="937" spans="1:19" x14ac:dyDescent="0.3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  <c r="L937" t="str">
        <f>VLOOKUP(D937,Products!$A:$F,3,FALSE)</f>
        <v>Sports</v>
      </c>
      <c r="M937" t="b">
        <f>VLOOKUP(D937,Products!$A:$F,6,FALSE)</f>
        <v>1</v>
      </c>
      <c r="N937">
        <f>VLOOKUP(D937,Products!$A:$F,4,FALSE)</f>
        <v>1860</v>
      </c>
      <c r="O937" t="str">
        <f>VLOOKUP(C937,Customers!$A:$F,5,FALSE)</f>
        <v>SMB</v>
      </c>
      <c r="P937">
        <f>VLOOKUP(C937,Customers!$A:$F,3,FALSE)</f>
        <v>51</v>
      </c>
      <c r="Q937" t="str">
        <f>VLOOKUP(E937,Sales_Reps!$A:$E,3,FALSE)</f>
        <v>North</v>
      </c>
      <c r="R937" t="str">
        <f>VLOOKUP(E937,Sales_Reps!$A:$E,2,FALSE)</f>
        <v>Priya Singh</v>
      </c>
      <c r="S937">
        <f t="shared" si="14"/>
        <v>0.50793650793650791</v>
      </c>
    </row>
    <row r="938" spans="1:19" x14ac:dyDescent="0.3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  <c r="L938" t="str">
        <f>VLOOKUP(D938,Products!$A:$F,3,FALSE)</f>
        <v>Sports</v>
      </c>
      <c r="M938" t="b">
        <f>VLOOKUP(D938,Products!$A:$F,6,FALSE)</f>
        <v>1</v>
      </c>
      <c r="N938">
        <f>VLOOKUP(D938,Products!$A:$F,4,FALSE)</f>
        <v>2827</v>
      </c>
      <c r="O938" t="str">
        <f>VLOOKUP(C938,Customers!$A:$F,5,FALSE)</f>
        <v>Retail</v>
      </c>
      <c r="P938">
        <f>VLOOKUP(C938,Customers!$A:$F,3,FALSE)</f>
        <v>56</v>
      </c>
      <c r="Q938" t="str">
        <f>VLOOKUP(E938,Sales_Reps!$A:$E,3,FALSE)</f>
        <v>East</v>
      </c>
      <c r="R938" t="str">
        <f>VLOOKUP(E938,Sales_Reps!$A:$E,2,FALSE)</f>
        <v>Prakash Shah</v>
      </c>
      <c r="S938">
        <f t="shared" si="14"/>
        <v>0.5926512968299712</v>
      </c>
    </row>
    <row r="939" spans="1:19" x14ac:dyDescent="0.3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  <c r="L939" t="str">
        <f>VLOOKUP(D939,Products!$A:$F,3,FALSE)</f>
        <v>Electronics</v>
      </c>
      <c r="M939" t="b">
        <f>VLOOKUP(D939,Products!$A:$F,6,FALSE)</f>
        <v>1</v>
      </c>
      <c r="N939">
        <f>VLOOKUP(D939,Products!$A:$F,4,FALSE)</f>
        <v>1559</v>
      </c>
      <c r="O939" t="str">
        <f>VLOOKUP(C939,Customers!$A:$F,5,FALSE)</f>
        <v>Retail</v>
      </c>
      <c r="P939">
        <f>VLOOKUP(C939,Customers!$A:$F,3,FALSE)</f>
        <v>22</v>
      </c>
      <c r="Q939" t="str">
        <f>VLOOKUP(E939,Sales_Reps!$A:$E,3,FALSE)</f>
        <v>West</v>
      </c>
      <c r="R939" t="str">
        <f>VLOOKUP(E939,Sales_Reps!$A:$E,2,FALSE)</f>
        <v>Kiran Bhatt</v>
      </c>
      <c r="S939">
        <f t="shared" si="14"/>
        <v>0.59715762273901807</v>
      </c>
    </row>
    <row r="940" spans="1:19" x14ac:dyDescent="0.3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  <c r="L940" t="str">
        <f>VLOOKUP(D940,Products!$A:$F,3,FALSE)</f>
        <v>Sports</v>
      </c>
      <c r="M940" t="b">
        <f>VLOOKUP(D940,Products!$A:$F,6,FALSE)</f>
        <v>1</v>
      </c>
      <c r="N940">
        <f>VLOOKUP(D940,Products!$A:$F,4,FALSE)</f>
        <v>2265</v>
      </c>
      <c r="O940" t="str">
        <f>VLOOKUP(C940,Customers!$A:$F,5,FALSE)</f>
        <v>Corporate</v>
      </c>
      <c r="P940">
        <f>VLOOKUP(C940,Customers!$A:$F,3,FALSE)</f>
        <v>41</v>
      </c>
      <c r="Q940" t="str">
        <f>VLOOKUP(E940,Sales_Reps!$A:$E,3,FALSE)</f>
        <v>South</v>
      </c>
      <c r="R940" t="str">
        <f>VLOOKUP(E940,Sales_Reps!$A:$E,2,FALSE)</f>
        <v>Ritu Menon</v>
      </c>
      <c r="S940">
        <f t="shared" si="14"/>
        <v>0.58133086876155271</v>
      </c>
    </row>
    <row r="941" spans="1:19" x14ac:dyDescent="0.3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  <c r="L941" t="str">
        <f>VLOOKUP(D941,Products!$A:$F,3,FALSE)</f>
        <v>Electronics</v>
      </c>
      <c r="M941" t="b">
        <f>VLOOKUP(D941,Products!$A:$F,6,FALSE)</f>
        <v>1</v>
      </c>
      <c r="N941">
        <f>VLOOKUP(D941,Products!$A:$F,4,FALSE)</f>
        <v>2865</v>
      </c>
      <c r="O941" t="str">
        <f>VLOOKUP(C941,Customers!$A:$F,5,FALSE)</f>
        <v>Corporate</v>
      </c>
      <c r="P941">
        <f>VLOOKUP(C941,Customers!$A:$F,3,FALSE)</f>
        <v>47</v>
      </c>
      <c r="Q941" t="str">
        <f>VLOOKUP(E941,Sales_Reps!$A:$E,3,FALSE)</f>
        <v>West</v>
      </c>
      <c r="R941" t="str">
        <f>VLOOKUP(E941,Sales_Reps!$A:$E,2,FALSE)</f>
        <v>Kiran Bhatt</v>
      </c>
      <c r="S941">
        <f t="shared" si="14"/>
        <v>0.27833753148614609</v>
      </c>
    </row>
    <row r="942" spans="1:19" x14ac:dyDescent="0.3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  <c r="L942" t="str">
        <f>VLOOKUP(D942,Products!$A:$F,3,FALSE)</f>
        <v>Sports</v>
      </c>
      <c r="M942" t="b">
        <f>VLOOKUP(D942,Products!$A:$F,6,FALSE)</f>
        <v>1</v>
      </c>
      <c r="N942">
        <f>VLOOKUP(D942,Products!$A:$F,4,FALSE)</f>
        <v>2827</v>
      </c>
      <c r="O942" t="str">
        <f>VLOOKUP(C942,Customers!$A:$F,5,FALSE)</f>
        <v>Retail</v>
      </c>
      <c r="P942">
        <f>VLOOKUP(C942,Customers!$A:$F,3,FALSE)</f>
        <v>53</v>
      </c>
      <c r="Q942" t="str">
        <f>VLOOKUP(E942,Sales_Reps!$A:$E,3,FALSE)</f>
        <v>North</v>
      </c>
      <c r="R942" t="str">
        <f>VLOOKUP(E942,Sales_Reps!$A:$E,2,FALSE)</f>
        <v>Rajesh Malhotra</v>
      </c>
      <c r="S942">
        <f t="shared" si="14"/>
        <v>0.5926512968299712</v>
      </c>
    </row>
    <row r="943" spans="1:19" x14ac:dyDescent="0.3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  <c r="L943" t="str">
        <f>VLOOKUP(D943,Products!$A:$F,3,FALSE)</f>
        <v>Apparel</v>
      </c>
      <c r="M943" t="b">
        <f>VLOOKUP(D943,Products!$A:$F,6,FALSE)</f>
        <v>1</v>
      </c>
      <c r="N943">
        <f>VLOOKUP(D943,Products!$A:$F,4,FALSE)</f>
        <v>1886</v>
      </c>
      <c r="O943" t="str">
        <f>VLOOKUP(C943,Customers!$A:$F,5,FALSE)</f>
        <v>Corporate</v>
      </c>
      <c r="P943">
        <f>VLOOKUP(C943,Customers!$A:$F,3,FALSE)</f>
        <v>55</v>
      </c>
      <c r="Q943" t="str">
        <f>VLOOKUP(E943,Sales_Reps!$A:$E,3,FALSE)</f>
        <v>North</v>
      </c>
      <c r="R943" t="str">
        <f>VLOOKUP(E943,Sales_Reps!$A:$E,2,FALSE)</f>
        <v>Neha Desai</v>
      </c>
      <c r="S943">
        <f t="shared" si="14"/>
        <v>0.4031645569620253</v>
      </c>
    </row>
    <row r="944" spans="1:19" x14ac:dyDescent="0.3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  <c r="L944" t="str">
        <f>VLOOKUP(D944,Products!$A:$F,3,FALSE)</f>
        <v>Apparel</v>
      </c>
      <c r="M944" t="b">
        <f>VLOOKUP(D944,Products!$A:$F,6,FALSE)</f>
        <v>1</v>
      </c>
      <c r="N944">
        <f>VLOOKUP(D944,Products!$A:$F,4,FALSE)</f>
        <v>391</v>
      </c>
      <c r="O944" t="str">
        <f>VLOOKUP(C944,Customers!$A:$F,5,FALSE)</f>
        <v>Corporate</v>
      </c>
      <c r="P944">
        <f>VLOOKUP(C944,Customers!$A:$F,3,FALSE)</f>
        <v>43</v>
      </c>
      <c r="Q944" t="str">
        <f>VLOOKUP(E944,Sales_Reps!$A:$E,3,FALSE)</f>
        <v>West</v>
      </c>
      <c r="R944" t="str">
        <f>VLOOKUP(E944,Sales_Reps!$A:$E,2,FALSE)</f>
        <v>Rekha Chopra</v>
      </c>
      <c r="S944">
        <f t="shared" si="14"/>
        <v>0.52317073170731709</v>
      </c>
    </row>
    <row r="945" spans="1:19" x14ac:dyDescent="0.3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  <c r="L945" t="str">
        <f>VLOOKUP(D945,Products!$A:$F,3,FALSE)</f>
        <v>Beauty</v>
      </c>
      <c r="M945" t="b">
        <f>VLOOKUP(D945,Products!$A:$F,6,FALSE)</f>
        <v>0</v>
      </c>
      <c r="N945">
        <f>VLOOKUP(D945,Products!$A:$F,4,FALSE)</f>
        <v>647</v>
      </c>
      <c r="O945" t="str">
        <f>VLOOKUP(C945,Customers!$A:$F,5,FALSE)</f>
        <v>SMB</v>
      </c>
      <c r="P945">
        <f>VLOOKUP(C945,Customers!$A:$F,3,FALSE)</f>
        <v>34</v>
      </c>
      <c r="Q945" t="str">
        <f>VLOOKUP(E945,Sales_Reps!$A:$E,3,FALSE)</f>
        <v>West</v>
      </c>
      <c r="R945" t="str">
        <f>VLOOKUP(E945,Sales_Reps!$A:$E,2,FALSE)</f>
        <v>Kiran Bhatt</v>
      </c>
      <c r="S945">
        <f t="shared" si="14"/>
        <v>0.57987012987012987</v>
      </c>
    </row>
    <row r="946" spans="1:19" x14ac:dyDescent="0.3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  <c r="L946" t="str">
        <f>VLOOKUP(D946,Products!$A:$F,3,FALSE)</f>
        <v>Electronics</v>
      </c>
      <c r="M946" t="b">
        <f>VLOOKUP(D946,Products!$A:$F,6,FALSE)</f>
        <v>1</v>
      </c>
      <c r="N946">
        <f>VLOOKUP(D946,Products!$A:$F,4,FALSE)</f>
        <v>1559</v>
      </c>
      <c r="O946" t="str">
        <f>VLOOKUP(C946,Customers!$A:$F,5,FALSE)</f>
        <v>Retail</v>
      </c>
      <c r="P946">
        <f>VLOOKUP(C946,Customers!$A:$F,3,FALSE)</f>
        <v>29</v>
      </c>
      <c r="Q946" t="str">
        <f>VLOOKUP(E946,Sales_Reps!$A:$E,3,FALSE)</f>
        <v>North</v>
      </c>
      <c r="R946" t="str">
        <f>VLOOKUP(E946,Sales_Reps!$A:$E,2,FALSE)</f>
        <v>Rajesh Malhotra</v>
      </c>
      <c r="S946">
        <f t="shared" si="14"/>
        <v>0.59715762273901807</v>
      </c>
    </row>
    <row r="947" spans="1:19" x14ac:dyDescent="0.3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  <c r="L947" t="str">
        <f>VLOOKUP(D947,Products!$A:$F,3,FALSE)</f>
        <v>Electronics</v>
      </c>
      <c r="M947" t="b">
        <f>VLOOKUP(D947,Products!$A:$F,6,FALSE)</f>
        <v>0</v>
      </c>
      <c r="N947">
        <f>VLOOKUP(D947,Products!$A:$F,4,FALSE)</f>
        <v>1259</v>
      </c>
      <c r="O947" t="str">
        <f>VLOOKUP(C947,Customers!$A:$F,5,FALSE)</f>
        <v>Retail</v>
      </c>
      <c r="P947">
        <f>VLOOKUP(C947,Customers!$A:$F,3,FALSE)</f>
        <v>50</v>
      </c>
      <c r="Q947" t="str">
        <f>VLOOKUP(E947,Sales_Reps!$A:$E,3,FALSE)</f>
        <v>North</v>
      </c>
      <c r="R947" t="str">
        <f>VLOOKUP(E947,Sales_Reps!$A:$E,2,FALSE)</f>
        <v>Sunita Malhotra</v>
      </c>
      <c r="S947">
        <f t="shared" si="14"/>
        <v>0.52669172932330832</v>
      </c>
    </row>
    <row r="948" spans="1:19" x14ac:dyDescent="0.3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  <c r="L948" t="str">
        <f>VLOOKUP(D948,Products!$A:$F,3,FALSE)</f>
        <v>Electronics</v>
      </c>
      <c r="M948" t="b">
        <f>VLOOKUP(D948,Products!$A:$F,6,FALSE)</f>
        <v>1</v>
      </c>
      <c r="N948">
        <f>VLOOKUP(D948,Products!$A:$F,4,FALSE)</f>
        <v>1665</v>
      </c>
      <c r="O948" t="str">
        <f>VLOOKUP(C948,Customers!$A:$F,5,FALSE)</f>
        <v>SMB</v>
      </c>
      <c r="P948">
        <f>VLOOKUP(C948,Customers!$A:$F,3,FALSE)</f>
        <v>51</v>
      </c>
      <c r="Q948" t="str">
        <f>VLOOKUP(E948,Sales_Reps!$A:$E,3,FALSE)</f>
        <v>South</v>
      </c>
      <c r="R948" t="str">
        <f>VLOOKUP(E948,Sales_Reps!$A:$E,2,FALSE)</f>
        <v>Manoj Patel</v>
      </c>
      <c r="S948">
        <f t="shared" si="14"/>
        <v>0.53361344537815125</v>
      </c>
    </row>
    <row r="949" spans="1:19" x14ac:dyDescent="0.3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  <c r="L949" t="str">
        <f>VLOOKUP(D949,Products!$A:$F,3,FALSE)</f>
        <v>Home</v>
      </c>
      <c r="M949" t="b">
        <f>VLOOKUP(D949,Products!$A:$F,6,FALSE)</f>
        <v>1</v>
      </c>
      <c r="N949">
        <f>VLOOKUP(D949,Products!$A:$F,4,FALSE)</f>
        <v>1143</v>
      </c>
      <c r="O949" t="str">
        <f>VLOOKUP(C949,Customers!$A:$F,5,FALSE)</f>
        <v>SMB</v>
      </c>
      <c r="P949">
        <f>VLOOKUP(C949,Customers!$A:$F,3,FALSE)</f>
        <v>52</v>
      </c>
      <c r="Q949" t="str">
        <f>VLOOKUP(E949,Sales_Reps!$A:$E,3,FALSE)</f>
        <v>North</v>
      </c>
      <c r="R949" t="str">
        <f>VLOOKUP(E949,Sales_Reps!$A:$E,2,FALSE)</f>
        <v>Sunita Malhotra</v>
      </c>
      <c r="S949">
        <f t="shared" si="14"/>
        <v>0.43694581280788175</v>
      </c>
    </row>
    <row r="950" spans="1:19" x14ac:dyDescent="0.3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  <c r="L950" t="str">
        <f>VLOOKUP(D950,Products!$A:$F,3,FALSE)</f>
        <v>Apparel</v>
      </c>
      <c r="M950" t="b">
        <f>VLOOKUP(D950,Products!$A:$F,6,FALSE)</f>
        <v>1</v>
      </c>
      <c r="N950">
        <f>VLOOKUP(D950,Products!$A:$F,4,FALSE)</f>
        <v>1886</v>
      </c>
      <c r="O950" t="str">
        <f>VLOOKUP(C950,Customers!$A:$F,5,FALSE)</f>
        <v>Corporate</v>
      </c>
      <c r="P950">
        <f>VLOOKUP(C950,Customers!$A:$F,3,FALSE)</f>
        <v>43</v>
      </c>
      <c r="Q950" t="str">
        <f>VLOOKUP(E950,Sales_Reps!$A:$E,3,FALSE)</f>
        <v>South</v>
      </c>
      <c r="R950" t="str">
        <f>VLOOKUP(E950,Sales_Reps!$A:$E,2,FALSE)</f>
        <v>Sanjay Kapoor</v>
      </c>
      <c r="S950">
        <f t="shared" si="14"/>
        <v>0.4031645569620253</v>
      </c>
    </row>
    <row r="951" spans="1:19" x14ac:dyDescent="0.3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  <c r="L951" t="str">
        <f>VLOOKUP(D951,Products!$A:$F,3,FALSE)</f>
        <v>Home</v>
      </c>
      <c r="M951" t="b">
        <f>VLOOKUP(D951,Products!$A:$F,6,FALSE)</f>
        <v>1</v>
      </c>
      <c r="N951">
        <f>VLOOKUP(D951,Products!$A:$F,4,FALSE)</f>
        <v>2459</v>
      </c>
      <c r="O951" t="str">
        <f>VLOOKUP(C951,Customers!$A:$F,5,FALSE)</f>
        <v>SMB</v>
      </c>
      <c r="P951">
        <f>VLOOKUP(C951,Customers!$A:$F,3,FALSE)</f>
        <v>55</v>
      </c>
      <c r="Q951" t="str">
        <f>VLOOKUP(E951,Sales_Reps!$A:$E,3,FALSE)</f>
        <v>South</v>
      </c>
      <c r="R951" t="str">
        <f>VLOOKUP(E951,Sales_Reps!$A:$E,2,FALSE)</f>
        <v>Ritu Menon</v>
      </c>
      <c r="S951">
        <f t="shared" si="14"/>
        <v>0.51594488188976373</v>
      </c>
    </row>
    <row r="952" spans="1:19" x14ac:dyDescent="0.3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  <c r="L952" t="str">
        <f>VLOOKUP(D952,Products!$A:$F,3,FALSE)</f>
        <v>Beauty</v>
      </c>
      <c r="M952" t="b">
        <f>VLOOKUP(D952,Products!$A:$F,6,FALSE)</f>
        <v>1</v>
      </c>
      <c r="N952">
        <f>VLOOKUP(D952,Products!$A:$F,4,FALSE)</f>
        <v>2420</v>
      </c>
      <c r="O952" t="str">
        <f>VLOOKUP(C952,Customers!$A:$F,5,FALSE)</f>
        <v>Corporate</v>
      </c>
      <c r="P952">
        <f>VLOOKUP(C952,Customers!$A:$F,3,FALSE)</f>
        <v>37</v>
      </c>
      <c r="Q952" t="str">
        <f>VLOOKUP(E952,Sales_Reps!$A:$E,3,FALSE)</f>
        <v>South</v>
      </c>
      <c r="R952" t="str">
        <f>VLOOKUP(E952,Sales_Reps!$A:$E,2,FALSE)</f>
        <v>Divya Rao</v>
      </c>
      <c r="S952">
        <f t="shared" si="14"/>
        <v>0.29855072463768118</v>
      </c>
    </row>
    <row r="953" spans="1:19" x14ac:dyDescent="0.3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  <c r="L953" t="str">
        <f>VLOOKUP(D953,Products!$A:$F,3,FALSE)</f>
        <v>Sports</v>
      </c>
      <c r="M953" t="b">
        <f>VLOOKUP(D953,Products!$A:$F,6,FALSE)</f>
        <v>1</v>
      </c>
      <c r="N953">
        <f>VLOOKUP(D953,Products!$A:$F,4,FALSE)</f>
        <v>2467</v>
      </c>
      <c r="O953" t="str">
        <f>VLOOKUP(C953,Customers!$A:$F,5,FALSE)</f>
        <v>Retail</v>
      </c>
      <c r="P953">
        <f>VLOOKUP(C953,Customers!$A:$F,3,FALSE)</f>
        <v>39</v>
      </c>
      <c r="Q953" t="str">
        <f>VLOOKUP(E953,Sales_Reps!$A:$E,3,FALSE)</f>
        <v>South</v>
      </c>
      <c r="R953" t="str">
        <f>VLOOKUP(E953,Sales_Reps!$A:$E,2,FALSE)</f>
        <v>Anjali Chopra</v>
      </c>
      <c r="S953">
        <f t="shared" si="14"/>
        <v>0.28492753623188405</v>
      </c>
    </row>
    <row r="954" spans="1:19" x14ac:dyDescent="0.3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  <c r="L954" t="str">
        <f>VLOOKUP(D954,Products!$A:$F,3,FALSE)</f>
        <v>Electronics</v>
      </c>
      <c r="M954" t="b">
        <f>VLOOKUP(D954,Products!$A:$F,6,FALSE)</f>
        <v>1</v>
      </c>
      <c r="N954">
        <f>VLOOKUP(D954,Products!$A:$F,4,FALSE)</f>
        <v>2405</v>
      </c>
      <c r="O954" t="str">
        <f>VLOOKUP(C954,Customers!$A:$F,5,FALSE)</f>
        <v>Retail</v>
      </c>
      <c r="P954">
        <f>VLOOKUP(C954,Customers!$A:$F,3,FALSE)</f>
        <v>26</v>
      </c>
      <c r="Q954" t="str">
        <f>VLOOKUP(E954,Sales_Reps!$A:$E,3,FALSE)</f>
        <v>West</v>
      </c>
      <c r="R954" t="str">
        <f>VLOOKUP(E954,Sales_Reps!$A:$E,2,FALSE)</f>
        <v>Ramesh Bhatt</v>
      </c>
      <c r="S954">
        <f t="shared" si="14"/>
        <v>0.54878048780487809</v>
      </c>
    </row>
    <row r="955" spans="1:19" x14ac:dyDescent="0.3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  <c r="L955" t="str">
        <f>VLOOKUP(D955,Products!$A:$F,3,FALSE)</f>
        <v>Grocery</v>
      </c>
      <c r="M955" t="b">
        <f>VLOOKUP(D955,Products!$A:$F,6,FALSE)</f>
        <v>1</v>
      </c>
      <c r="N955">
        <f>VLOOKUP(D955,Products!$A:$F,4,FALSE)</f>
        <v>1010</v>
      </c>
      <c r="O955" t="str">
        <f>VLOOKUP(C955,Customers!$A:$F,5,FALSE)</f>
        <v>Retail</v>
      </c>
      <c r="P955">
        <f>VLOOKUP(C955,Customers!$A:$F,3,FALSE)</f>
        <v>52</v>
      </c>
      <c r="Q955" t="str">
        <f>VLOOKUP(E955,Sales_Reps!$A:$E,3,FALSE)</f>
        <v>North</v>
      </c>
      <c r="R955" t="str">
        <f>VLOOKUP(E955,Sales_Reps!$A:$E,2,FALSE)</f>
        <v>Amit Singh</v>
      </c>
      <c r="S955">
        <f t="shared" si="14"/>
        <v>0.54298642533936647</v>
      </c>
    </row>
    <row r="956" spans="1:19" x14ac:dyDescent="0.3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  <c r="L956" t="str">
        <f>VLOOKUP(D956,Products!$A:$F,3,FALSE)</f>
        <v>Home</v>
      </c>
      <c r="M956" t="b">
        <f>VLOOKUP(D956,Products!$A:$F,6,FALSE)</f>
        <v>1</v>
      </c>
      <c r="N956">
        <f>VLOOKUP(D956,Products!$A:$F,4,FALSE)</f>
        <v>519</v>
      </c>
      <c r="O956" t="str">
        <f>VLOOKUP(C956,Customers!$A:$F,5,FALSE)</f>
        <v>Retail</v>
      </c>
      <c r="P956">
        <f>VLOOKUP(C956,Customers!$A:$F,3,FALSE)</f>
        <v>41</v>
      </c>
      <c r="Q956" t="str">
        <f>VLOOKUP(E956,Sales_Reps!$A:$E,3,FALSE)</f>
        <v>West</v>
      </c>
      <c r="R956" t="str">
        <f>VLOOKUP(E956,Sales_Reps!$A:$E,2,FALSE)</f>
        <v>Sonia Malhotra</v>
      </c>
      <c r="S956">
        <f t="shared" si="14"/>
        <v>0.51944444444444449</v>
      </c>
    </row>
    <row r="957" spans="1:19" x14ac:dyDescent="0.3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  <c r="L957" t="str">
        <f>VLOOKUP(D957,Products!$A:$F,3,FALSE)</f>
        <v>Apparel</v>
      </c>
      <c r="M957" t="b">
        <f>VLOOKUP(D957,Products!$A:$F,6,FALSE)</f>
        <v>1</v>
      </c>
      <c r="N957">
        <f>VLOOKUP(D957,Products!$A:$F,4,FALSE)</f>
        <v>2509</v>
      </c>
      <c r="O957" t="str">
        <f>VLOOKUP(C957,Customers!$A:$F,5,FALSE)</f>
        <v>SMB</v>
      </c>
      <c r="P957">
        <f>VLOOKUP(C957,Customers!$A:$F,3,FALSE)</f>
        <v>44</v>
      </c>
      <c r="Q957" t="str">
        <f>VLOOKUP(E957,Sales_Reps!$A:$E,3,FALSE)</f>
        <v>South</v>
      </c>
      <c r="R957" t="str">
        <f>VLOOKUP(E957,Sales_Reps!$A:$E,2,FALSE)</f>
        <v>Deepak Shah</v>
      </c>
      <c r="S957">
        <f t="shared" si="14"/>
        <v>0.3069060773480663</v>
      </c>
    </row>
    <row r="958" spans="1:19" x14ac:dyDescent="0.3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  <c r="L958" t="str">
        <f>VLOOKUP(D958,Products!$A:$F,3,FALSE)</f>
        <v>Apparel</v>
      </c>
      <c r="M958" t="b">
        <f>VLOOKUP(D958,Products!$A:$F,6,FALSE)</f>
        <v>1</v>
      </c>
      <c r="N958">
        <f>VLOOKUP(D958,Products!$A:$F,4,FALSE)</f>
        <v>2629</v>
      </c>
      <c r="O958" t="str">
        <f>VLOOKUP(C958,Customers!$A:$F,5,FALSE)</f>
        <v>Retail</v>
      </c>
      <c r="P958">
        <f>VLOOKUP(C958,Customers!$A:$F,3,FALSE)</f>
        <v>36</v>
      </c>
      <c r="Q958" t="str">
        <f>VLOOKUP(E958,Sales_Reps!$A:$E,3,FALSE)</f>
        <v>South</v>
      </c>
      <c r="R958" t="str">
        <f>VLOOKUP(E958,Sales_Reps!$A:$E,2,FALSE)</f>
        <v>Anil Verma</v>
      </c>
      <c r="S958">
        <f t="shared" si="14"/>
        <v>0.26151685393258428</v>
      </c>
    </row>
    <row r="959" spans="1:19" x14ac:dyDescent="0.3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  <c r="L959" t="str">
        <f>VLOOKUP(D959,Products!$A:$F,3,FALSE)</f>
        <v>Home</v>
      </c>
      <c r="M959" t="b">
        <f>VLOOKUP(D959,Products!$A:$F,6,FALSE)</f>
        <v>1</v>
      </c>
      <c r="N959">
        <f>VLOOKUP(D959,Products!$A:$F,4,FALSE)</f>
        <v>1143</v>
      </c>
      <c r="O959" t="str">
        <f>VLOOKUP(C959,Customers!$A:$F,5,FALSE)</f>
        <v>Retail</v>
      </c>
      <c r="P959">
        <f>VLOOKUP(C959,Customers!$A:$F,3,FALSE)</f>
        <v>41</v>
      </c>
      <c r="Q959" t="str">
        <f>VLOOKUP(E959,Sales_Reps!$A:$E,3,FALSE)</f>
        <v>West</v>
      </c>
      <c r="R959" t="str">
        <f>VLOOKUP(E959,Sales_Reps!$A:$E,2,FALSE)</f>
        <v>Ashok Reddy</v>
      </c>
      <c r="S959">
        <f t="shared" si="14"/>
        <v>0.43694581280788175</v>
      </c>
    </row>
    <row r="960" spans="1:19" x14ac:dyDescent="0.3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  <c r="L960" t="str">
        <f>VLOOKUP(D960,Products!$A:$F,3,FALSE)</f>
        <v>Beauty</v>
      </c>
      <c r="M960" t="b">
        <f>VLOOKUP(D960,Products!$A:$F,6,FALSE)</f>
        <v>1</v>
      </c>
      <c r="N960">
        <f>VLOOKUP(D960,Products!$A:$F,4,FALSE)</f>
        <v>1222</v>
      </c>
      <c r="O960" t="str">
        <f>VLOOKUP(C960,Customers!$A:$F,5,FALSE)</f>
        <v>SMB</v>
      </c>
      <c r="P960">
        <f>VLOOKUP(C960,Customers!$A:$F,3,FALSE)</f>
        <v>51</v>
      </c>
      <c r="Q960" t="str">
        <f>VLOOKUP(E960,Sales_Reps!$A:$E,3,FALSE)</f>
        <v>South</v>
      </c>
      <c r="R960" t="str">
        <f>VLOOKUP(E960,Sales_Reps!$A:$E,2,FALSE)</f>
        <v>Anil Verma</v>
      </c>
      <c r="S960">
        <f t="shared" si="14"/>
        <v>0.2593939393939394</v>
      </c>
    </row>
    <row r="961" spans="1:19" x14ac:dyDescent="0.3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  <c r="L961" t="str">
        <f>VLOOKUP(D961,Products!$A:$F,3,FALSE)</f>
        <v>Grocery</v>
      </c>
      <c r="M961" t="b">
        <f>VLOOKUP(D961,Products!$A:$F,6,FALSE)</f>
        <v>1</v>
      </c>
      <c r="N961">
        <f>VLOOKUP(D961,Products!$A:$F,4,FALSE)</f>
        <v>1435</v>
      </c>
      <c r="O961" t="str">
        <f>VLOOKUP(C961,Customers!$A:$F,5,FALSE)</f>
        <v>SMB</v>
      </c>
      <c r="P961">
        <f>VLOOKUP(C961,Customers!$A:$F,3,FALSE)</f>
        <v>65</v>
      </c>
      <c r="Q961" t="str">
        <f>VLOOKUP(E961,Sales_Reps!$A:$E,3,FALSE)</f>
        <v>East</v>
      </c>
      <c r="R961" t="str">
        <f>VLOOKUP(E961,Sales_Reps!$A:$E,2,FALSE)</f>
        <v>Naveen Singh</v>
      </c>
      <c r="S961">
        <f t="shared" si="14"/>
        <v>0.48007246376811596</v>
      </c>
    </row>
    <row r="962" spans="1:19" x14ac:dyDescent="0.3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  <c r="L962" t="str">
        <f>VLOOKUP(D962,Products!$A:$F,3,FALSE)</f>
        <v>Electronics</v>
      </c>
      <c r="M962" t="b">
        <f>VLOOKUP(D962,Products!$A:$F,6,FALSE)</f>
        <v>1</v>
      </c>
      <c r="N962">
        <f>VLOOKUP(D962,Products!$A:$F,4,FALSE)</f>
        <v>2865</v>
      </c>
      <c r="O962" t="str">
        <f>VLOOKUP(C962,Customers!$A:$F,5,FALSE)</f>
        <v>Corporate</v>
      </c>
      <c r="P962">
        <f>VLOOKUP(C962,Customers!$A:$F,3,FALSE)</f>
        <v>47</v>
      </c>
      <c r="Q962" t="str">
        <f>VLOOKUP(E962,Sales_Reps!$A:$E,3,FALSE)</f>
        <v>South</v>
      </c>
      <c r="R962" t="str">
        <f>VLOOKUP(E962,Sales_Reps!$A:$E,2,FALSE)</f>
        <v>Manoj Patel</v>
      </c>
      <c r="S962">
        <f t="shared" si="14"/>
        <v>0.27833753148614609</v>
      </c>
    </row>
    <row r="963" spans="1:19" x14ac:dyDescent="0.3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  <c r="L963" t="str">
        <f>VLOOKUP(D963,Products!$A:$F,3,FALSE)</f>
        <v>Beauty</v>
      </c>
      <c r="M963" t="b">
        <f>VLOOKUP(D963,Products!$A:$F,6,FALSE)</f>
        <v>1</v>
      </c>
      <c r="N963">
        <f>VLOOKUP(D963,Products!$A:$F,4,FALSE)</f>
        <v>2617</v>
      </c>
      <c r="O963" t="str">
        <f>VLOOKUP(C963,Customers!$A:$F,5,FALSE)</f>
        <v>SMB</v>
      </c>
      <c r="P963">
        <f>VLOOKUP(C963,Customers!$A:$F,3,FALSE)</f>
        <v>49</v>
      </c>
      <c r="Q963" t="str">
        <f>VLOOKUP(E963,Sales_Reps!$A:$E,3,FALSE)</f>
        <v>South</v>
      </c>
      <c r="R963" t="str">
        <f>VLOOKUP(E963,Sales_Reps!$A:$E,2,FALSE)</f>
        <v>Divya Rao</v>
      </c>
      <c r="S963">
        <f t="shared" ref="S963:S1026" si="15">IFERROR((G963-N963)/G963,"")</f>
        <v>0.56957236842105263</v>
      </c>
    </row>
    <row r="964" spans="1:19" x14ac:dyDescent="0.3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  <c r="L964" t="str">
        <f>VLOOKUP(D964,Products!$A:$F,3,FALSE)</f>
        <v>Grocery</v>
      </c>
      <c r="M964" t="b">
        <f>VLOOKUP(D964,Products!$A:$F,6,FALSE)</f>
        <v>1</v>
      </c>
      <c r="N964">
        <f>VLOOKUP(D964,Products!$A:$F,4,FALSE)</f>
        <v>1203</v>
      </c>
      <c r="O964" t="str">
        <f>VLOOKUP(C964,Customers!$A:$F,5,FALSE)</f>
        <v>Retail</v>
      </c>
      <c r="P964">
        <f>VLOOKUP(C964,Customers!$A:$F,3,FALSE)</f>
        <v>43</v>
      </c>
      <c r="Q964" t="str">
        <f>VLOOKUP(E964,Sales_Reps!$A:$E,3,FALSE)</f>
        <v>North</v>
      </c>
      <c r="R964" t="str">
        <f>VLOOKUP(E964,Sales_Reps!$A:$E,2,FALSE)</f>
        <v>Priya Singh</v>
      </c>
      <c r="S964">
        <f t="shared" si="15"/>
        <v>0.47004405286343615</v>
      </c>
    </row>
    <row r="965" spans="1:19" x14ac:dyDescent="0.3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  <c r="L965" t="str">
        <f>VLOOKUP(D965,Products!$A:$F,3,FALSE)</f>
        <v>Electronics</v>
      </c>
      <c r="M965" t="b">
        <f>VLOOKUP(D965,Products!$A:$F,6,FALSE)</f>
        <v>1</v>
      </c>
      <c r="N965">
        <f>VLOOKUP(D965,Products!$A:$F,4,FALSE)</f>
        <v>2865</v>
      </c>
      <c r="O965" t="str">
        <f>VLOOKUP(C965,Customers!$A:$F,5,FALSE)</f>
        <v>Corporate</v>
      </c>
      <c r="P965">
        <f>VLOOKUP(C965,Customers!$A:$F,3,FALSE)</f>
        <v>47</v>
      </c>
      <c r="Q965" t="str">
        <f>VLOOKUP(E965,Sales_Reps!$A:$E,3,FALSE)</f>
        <v>North</v>
      </c>
      <c r="R965" t="str">
        <f>VLOOKUP(E965,Sales_Reps!$A:$E,2,FALSE)</f>
        <v>Priya Singh</v>
      </c>
      <c r="S965">
        <f t="shared" si="15"/>
        <v>0.27833753148614609</v>
      </c>
    </row>
    <row r="966" spans="1:19" x14ac:dyDescent="0.3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  <c r="L966" t="str">
        <f>VLOOKUP(D966,Products!$A:$F,3,FALSE)</f>
        <v>Beauty</v>
      </c>
      <c r="M966" t="b">
        <f>VLOOKUP(D966,Products!$A:$F,6,FALSE)</f>
        <v>1</v>
      </c>
      <c r="N966">
        <f>VLOOKUP(D966,Products!$A:$F,4,FALSE)</f>
        <v>2237</v>
      </c>
      <c r="O966" t="str">
        <f>VLOOKUP(C966,Customers!$A:$F,5,FALSE)</f>
        <v>Retail</v>
      </c>
      <c r="P966">
        <f>VLOOKUP(C966,Customers!$A:$F,3,FALSE)</f>
        <v>26</v>
      </c>
      <c r="Q966" t="str">
        <f>VLOOKUP(E966,Sales_Reps!$A:$E,3,FALSE)</f>
        <v>South</v>
      </c>
      <c r="R966" t="str">
        <f>VLOOKUP(E966,Sales_Reps!$A:$E,2,FALSE)</f>
        <v>Sanjay Kapoor</v>
      </c>
      <c r="S966">
        <f t="shared" si="15"/>
        <v>0.56137254901960787</v>
      </c>
    </row>
    <row r="967" spans="1:19" x14ac:dyDescent="0.3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  <c r="L967" t="str">
        <f>VLOOKUP(D967,Products!$A:$F,3,FALSE)</f>
        <v>Beauty</v>
      </c>
      <c r="M967" t="b">
        <f>VLOOKUP(D967,Products!$A:$F,6,FALSE)</f>
        <v>1</v>
      </c>
      <c r="N967">
        <f>VLOOKUP(D967,Products!$A:$F,4,FALSE)</f>
        <v>1626</v>
      </c>
      <c r="O967" t="str">
        <f>VLOOKUP(C967,Customers!$A:$F,5,FALSE)</f>
        <v>Corporate</v>
      </c>
      <c r="P967">
        <f>VLOOKUP(C967,Customers!$A:$F,3,FALSE)</f>
        <v>33</v>
      </c>
      <c r="Q967" t="str">
        <f>VLOOKUP(E967,Sales_Reps!$A:$E,3,FALSE)</f>
        <v>West</v>
      </c>
      <c r="R967" t="str">
        <f>VLOOKUP(E967,Sales_Reps!$A:$E,2,FALSE)</f>
        <v>Rekha Chopra</v>
      </c>
      <c r="S967">
        <f t="shared" si="15"/>
        <v>0.46158940397350995</v>
      </c>
    </row>
    <row r="968" spans="1:19" x14ac:dyDescent="0.3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  <c r="L968" t="str">
        <f>VLOOKUP(D968,Products!$A:$F,3,FALSE)</f>
        <v>Sports</v>
      </c>
      <c r="M968" t="b">
        <f>VLOOKUP(D968,Products!$A:$F,6,FALSE)</f>
        <v>1</v>
      </c>
      <c r="N968">
        <f>VLOOKUP(D968,Products!$A:$F,4,FALSE)</f>
        <v>705</v>
      </c>
      <c r="O968" t="str">
        <f>VLOOKUP(C968,Customers!$A:$F,5,FALSE)</f>
        <v>Retail</v>
      </c>
      <c r="P968">
        <f>VLOOKUP(C968,Customers!$A:$F,3,FALSE)</f>
        <v>37</v>
      </c>
      <c r="Q968" t="str">
        <f>VLOOKUP(E968,Sales_Reps!$A:$E,3,FALSE)</f>
        <v>South</v>
      </c>
      <c r="R968" t="str">
        <f>VLOOKUP(E968,Sales_Reps!$A:$E,2,FALSE)</f>
        <v>Anjali Chopra</v>
      </c>
      <c r="S968">
        <f t="shared" si="15"/>
        <v>0.265625</v>
      </c>
    </row>
    <row r="969" spans="1:19" x14ac:dyDescent="0.3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  <c r="L969" t="str">
        <f>VLOOKUP(D969,Products!$A:$F,3,FALSE)</f>
        <v>Apparel</v>
      </c>
      <c r="M969" t="b">
        <f>VLOOKUP(D969,Products!$A:$F,6,FALSE)</f>
        <v>1</v>
      </c>
      <c r="N969">
        <f>VLOOKUP(D969,Products!$A:$F,4,FALSE)</f>
        <v>1173</v>
      </c>
      <c r="O969" t="str">
        <f>VLOOKUP(C969,Customers!$A:$F,5,FALSE)</f>
        <v>SMB</v>
      </c>
      <c r="P969">
        <f>VLOOKUP(C969,Customers!$A:$F,3,FALSE)</f>
        <v>65</v>
      </c>
      <c r="Q969" t="str">
        <f>VLOOKUP(E969,Sales_Reps!$A:$E,3,FALSE)</f>
        <v>North</v>
      </c>
      <c r="R969" t="str">
        <f>VLOOKUP(E969,Sales_Reps!$A:$E,2,FALSE)</f>
        <v>Kavita Patel</v>
      </c>
      <c r="S969">
        <f t="shared" si="15"/>
        <v>0.52701612903225803</v>
      </c>
    </row>
    <row r="970" spans="1:19" x14ac:dyDescent="0.3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  <c r="L970" t="str">
        <f>VLOOKUP(D970,Products!$A:$F,3,FALSE)</f>
        <v>Grocery</v>
      </c>
      <c r="M970" t="b">
        <f>VLOOKUP(D970,Products!$A:$F,6,FALSE)</f>
        <v>1</v>
      </c>
      <c r="N970">
        <f>VLOOKUP(D970,Products!$A:$F,4,FALSE)</f>
        <v>434</v>
      </c>
      <c r="O970" t="e">
        <f>VLOOKUP(C970,Customers!$A:$F,5,FALSE)</f>
        <v>#N/A</v>
      </c>
      <c r="P970" t="e">
        <f>VLOOKUP(C970,Customers!$A:$F,3,FALSE)</f>
        <v>#N/A</v>
      </c>
      <c r="Q970" t="str">
        <f>VLOOKUP(E970,Sales_Reps!$A:$E,3,FALSE)</f>
        <v>South</v>
      </c>
      <c r="R970" t="str">
        <f>VLOOKUP(E970,Sales_Reps!$A:$E,2,FALSE)</f>
        <v>Pooja Nair</v>
      </c>
      <c r="S970">
        <f t="shared" si="15"/>
        <v>0.5525773195876289</v>
      </c>
    </row>
    <row r="971" spans="1:19" x14ac:dyDescent="0.3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  <c r="L971" t="str">
        <f>VLOOKUP(D971,Products!$A:$F,3,FALSE)</f>
        <v>Grocery</v>
      </c>
      <c r="M971" t="b">
        <f>VLOOKUP(D971,Products!$A:$F,6,FALSE)</f>
        <v>1</v>
      </c>
      <c r="N971">
        <f>VLOOKUP(D971,Products!$A:$F,4,FALSE)</f>
        <v>1182</v>
      </c>
      <c r="O971" t="str">
        <f>VLOOKUP(C971,Customers!$A:$F,5,FALSE)</f>
        <v>SMB</v>
      </c>
      <c r="P971">
        <f>VLOOKUP(C971,Customers!$A:$F,3,FALSE)</f>
        <v>53</v>
      </c>
      <c r="Q971" t="str">
        <f>VLOOKUP(E971,Sales_Reps!$A:$E,3,FALSE)</f>
        <v>East</v>
      </c>
      <c r="R971" t="str">
        <f>VLOOKUP(E971,Sales_Reps!$A:$E,2,FALSE)</f>
        <v>Nisha Menon</v>
      </c>
      <c r="S971">
        <f t="shared" si="15"/>
        <v>0.50336134453781511</v>
      </c>
    </row>
    <row r="972" spans="1:19" x14ac:dyDescent="0.3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  <c r="L972" t="str">
        <f>VLOOKUP(D972,Products!$A:$F,3,FALSE)</f>
        <v>Sports</v>
      </c>
      <c r="M972" t="b">
        <f>VLOOKUP(D972,Products!$A:$F,6,FALSE)</f>
        <v>1</v>
      </c>
      <c r="N972">
        <f>VLOOKUP(D972,Products!$A:$F,4,FALSE)</f>
        <v>2265</v>
      </c>
      <c r="O972" t="str">
        <f>VLOOKUP(C972,Customers!$A:$F,5,FALSE)</f>
        <v>Retail</v>
      </c>
      <c r="P972">
        <f>VLOOKUP(C972,Customers!$A:$F,3,FALSE)</f>
        <v>60</v>
      </c>
      <c r="Q972" t="str">
        <f>VLOOKUP(E972,Sales_Reps!$A:$E,3,FALSE)</f>
        <v>North</v>
      </c>
      <c r="R972" t="str">
        <f>VLOOKUP(E972,Sales_Reps!$A:$E,2,FALSE)</f>
        <v>Vikram Patel</v>
      </c>
      <c r="S972">
        <f t="shared" si="15"/>
        <v>0.58133086876155271</v>
      </c>
    </row>
    <row r="973" spans="1:19" x14ac:dyDescent="0.3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  <c r="L973" t="str">
        <f>VLOOKUP(D973,Products!$A:$F,3,FALSE)</f>
        <v>Home</v>
      </c>
      <c r="M973" t="b">
        <f>VLOOKUP(D973,Products!$A:$F,6,FALSE)</f>
        <v>1</v>
      </c>
      <c r="N973">
        <f>VLOOKUP(D973,Products!$A:$F,4,FALSE)</f>
        <v>2459</v>
      </c>
      <c r="O973" t="str">
        <f>VLOOKUP(C973,Customers!$A:$F,5,FALSE)</f>
        <v>Retail</v>
      </c>
      <c r="P973">
        <f>VLOOKUP(C973,Customers!$A:$F,3,FALSE)</f>
        <v>28</v>
      </c>
      <c r="Q973" t="str">
        <f>VLOOKUP(E973,Sales_Reps!$A:$E,3,FALSE)</f>
        <v>East</v>
      </c>
      <c r="R973" t="str">
        <f>VLOOKUP(E973,Sales_Reps!$A:$E,2,FALSE)</f>
        <v>Nisha Menon</v>
      </c>
      <c r="S973">
        <f t="shared" si="15"/>
        <v>0.51594488188976373</v>
      </c>
    </row>
    <row r="974" spans="1:19" x14ac:dyDescent="0.3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  <c r="L974" t="str">
        <f>VLOOKUP(D974,Products!$A:$F,3,FALSE)</f>
        <v>Electronics</v>
      </c>
      <c r="M974" t="b">
        <f>VLOOKUP(D974,Products!$A:$F,6,FALSE)</f>
        <v>1</v>
      </c>
      <c r="N974">
        <f>VLOOKUP(D974,Products!$A:$F,4,FALSE)</f>
        <v>861</v>
      </c>
      <c r="O974" t="str">
        <f>VLOOKUP(C974,Customers!$A:$F,5,FALSE)</f>
        <v>Retail</v>
      </c>
      <c r="P974">
        <f>VLOOKUP(C974,Customers!$A:$F,3,FALSE)</f>
        <v>39</v>
      </c>
      <c r="Q974" t="str">
        <f>VLOOKUP(E974,Sales_Reps!$A:$E,3,FALSE)</f>
        <v>West</v>
      </c>
      <c r="R974" t="str">
        <f>VLOOKUP(E974,Sales_Reps!$A:$E,2,FALSE)</f>
        <v>Ashok Reddy</v>
      </c>
      <c r="S974">
        <f t="shared" si="15"/>
        <v>0.39790209790209791</v>
      </c>
    </row>
    <row r="975" spans="1:19" x14ac:dyDescent="0.3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  <c r="L975" t="str">
        <f>VLOOKUP(D975,Products!$A:$F,3,FALSE)</f>
        <v>Home</v>
      </c>
      <c r="M975" t="b">
        <f>VLOOKUP(D975,Products!$A:$F,6,FALSE)</f>
        <v>1</v>
      </c>
      <c r="N975">
        <f>VLOOKUP(D975,Products!$A:$F,4,FALSE)</f>
        <v>329</v>
      </c>
      <c r="O975" t="str">
        <f>VLOOKUP(C975,Customers!$A:$F,5,FALSE)</f>
        <v>SMB</v>
      </c>
      <c r="P975">
        <f>VLOOKUP(C975,Customers!$A:$F,3,FALSE)</f>
        <v>38</v>
      </c>
      <c r="Q975" t="str">
        <f>VLOOKUP(E975,Sales_Reps!$A:$E,3,FALSE)</f>
        <v>South</v>
      </c>
      <c r="R975" t="str">
        <f>VLOOKUP(E975,Sales_Reps!$A:$E,2,FALSE)</f>
        <v>Anil Verma</v>
      </c>
      <c r="S975">
        <f t="shared" si="15"/>
        <v>0.50151515151515147</v>
      </c>
    </row>
    <row r="976" spans="1:19" x14ac:dyDescent="0.3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  <c r="L976" t="str">
        <f>VLOOKUP(D976,Products!$A:$F,3,FALSE)</f>
        <v>Beauty</v>
      </c>
      <c r="M976" t="b">
        <f>VLOOKUP(D976,Products!$A:$F,6,FALSE)</f>
        <v>0</v>
      </c>
      <c r="N976">
        <f>VLOOKUP(D976,Products!$A:$F,4,FALSE)</f>
        <v>647</v>
      </c>
      <c r="O976" t="str">
        <f>VLOOKUP(C976,Customers!$A:$F,5,FALSE)</f>
        <v>Retail</v>
      </c>
      <c r="P976">
        <f>VLOOKUP(C976,Customers!$A:$F,3,FALSE)</f>
        <v>36</v>
      </c>
      <c r="Q976" t="str">
        <f>VLOOKUP(E976,Sales_Reps!$A:$E,3,FALSE)</f>
        <v>North</v>
      </c>
      <c r="R976" t="str">
        <f>VLOOKUP(E976,Sales_Reps!$A:$E,2,FALSE)</f>
        <v>Priya Singh</v>
      </c>
      <c r="S976">
        <f t="shared" si="15"/>
        <v>0.57987012987012987</v>
      </c>
    </row>
    <row r="977" spans="1:19" x14ac:dyDescent="0.3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  <c r="L977" t="str">
        <f>VLOOKUP(D977,Products!$A:$F,3,FALSE)</f>
        <v>Grocery</v>
      </c>
      <c r="M977" t="b">
        <f>VLOOKUP(D977,Products!$A:$F,6,FALSE)</f>
        <v>1</v>
      </c>
      <c r="N977">
        <f>VLOOKUP(D977,Products!$A:$F,4,FALSE)</f>
        <v>1010</v>
      </c>
      <c r="O977" t="str">
        <f>VLOOKUP(C977,Customers!$A:$F,5,FALSE)</f>
        <v>SMB</v>
      </c>
      <c r="P977">
        <f>VLOOKUP(C977,Customers!$A:$F,3,FALSE)</f>
        <v>48</v>
      </c>
      <c r="Q977" t="str">
        <f>VLOOKUP(E977,Sales_Reps!$A:$E,3,FALSE)</f>
        <v>North</v>
      </c>
      <c r="R977" t="str">
        <f>VLOOKUP(E977,Sales_Reps!$A:$E,2,FALSE)</f>
        <v>Amit Singh</v>
      </c>
      <c r="S977">
        <f t="shared" si="15"/>
        <v>0.54298642533936647</v>
      </c>
    </row>
    <row r="978" spans="1:19" x14ac:dyDescent="0.3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  <c r="L978" t="str">
        <f>VLOOKUP(D978,Products!$A:$F,3,FALSE)</f>
        <v>Sports</v>
      </c>
      <c r="M978" t="b">
        <f>VLOOKUP(D978,Products!$A:$F,6,FALSE)</f>
        <v>1</v>
      </c>
      <c r="N978">
        <f>VLOOKUP(D978,Products!$A:$F,4,FALSE)</f>
        <v>705</v>
      </c>
      <c r="O978" t="str">
        <f>VLOOKUP(C978,Customers!$A:$F,5,FALSE)</f>
        <v>Retail</v>
      </c>
      <c r="P978">
        <f>VLOOKUP(C978,Customers!$A:$F,3,FALSE)</f>
        <v>44</v>
      </c>
      <c r="Q978" t="str">
        <f>VLOOKUP(E978,Sales_Reps!$A:$E,3,FALSE)</f>
        <v>East</v>
      </c>
      <c r="R978" t="str">
        <f>VLOOKUP(E978,Sales_Reps!$A:$E,2,FALSE)</f>
        <v>Nisha Menon</v>
      </c>
      <c r="S978">
        <f t="shared" si="15"/>
        <v>0.265625</v>
      </c>
    </row>
    <row r="979" spans="1:19" x14ac:dyDescent="0.3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  <c r="L979" t="str">
        <f>VLOOKUP(D979,Products!$A:$F,3,FALSE)</f>
        <v>Beauty</v>
      </c>
      <c r="M979" t="b">
        <f>VLOOKUP(D979,Products!$A:$F,6,FALSE)</f>
        <v>1</v>
      </c>
      <c r="N979">
        <f>VLOOKUP(D979,Products!$A:$F,4,FALSE)</f>
        <v>2420</v>
      </c>
      <c r="O979" t="str">
        <f>VLOOKUP(C979,Customers!$A:$F,5,FALSE)</f>
        <v>Retail</v>
      </c>
      <c r="P979">
        <f>VLOOKUP(C979,Customers!$A:$F,3,FALSE)</f>
        <v>38</v>
      </c>
      <c r="Q979" t="str">
        <f>VLOOKUP(E979,Sales_Reps!$A:$E,3,FALSE)</f>
        <v>East</v>
      </c>
      <c r="R979" t="str">
        <f>VLOOKUP(E979,Sales_Reps!$A:$E,2,FALSE)</f>
        <v>Nisha Menon</v>
      </c>
      <c r="S979">
        <f t="shared" si="15"/>
        <v>0.29855072463768118</v>
      </c>
    </row>
    <row r="980" spans="1:19" x14ac:dyDescent="0.3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  <c r="L980" t="str">
        <f>VLOOKUP(D980,Products!$A:$F,3,FALSE)</f>
        <v>Home</v>
      </c>
      <c r="M980" t="b">
        <f>VLOOKUP(D980,Products!$A:$F,6,FALSE)</f>
        <v>1</v>
      </c>
      <c r="N980">
        <f>VLOOKUP(D980,Products!$A:$F,4,FALSE)</f>
        <v>1143</v>
      </c>
      <c r="O980" t="e">
        <f>VLOOKUP(C980,Customers!$A:$F,5,FALSE)</f>
        <v>#N/A</v>
      </c>
      <c r="P980" t="e">
        <f>VLOOKUP(C980,Customers!$A:$F,3,FALSE)</f>
        <v>#N/A</v>
      </c>
      <c r="Q980" t="str">
        <f>VLOOKUP(E980,Sales_Reps!$A:$E,3,FALSE)</f>
        <v>North</v>
      </c>
      <c r="R980" t="str">
        <f>VLOOKUP(E980,Sales_Reps!$A:$E,2,FALSE)</f>
        <v>Vikram Patel</v>
      </c>
      <c r="S980">
        <f t="shared" si="15"/>
        <v>0.43694581280788175</v>
      </c>
    </row>
    <row r="981" spans="1:19" x14ac:dyDescent="0.3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  <c r="L981" t="str">
        <f>VLOOKUP(D981,Products!$A:$F,3,FALSE)</f>
        <v>Apparel</v>
      </c>
      <c r="M981" t="b">
        <f>VLOOKUP(D981,Products!$A:$F,6,FALSE)</f>
        <v>1</v>
      </c>
      <c r="N981">
        <f>VLOOKUP(D981,Products!$A:$F,4,FALSE)</f>
        <v>1748</v>
      </c>
      <c r="O981" t="str">
        <f>VLOOKUP(C981,Customers!$A:$F,5,FALSE)</f>
        <v>SMB</v>
      </c>
      <c r="P981">
        <f>VLOOKUP(C981,Customers!$A:$F,3,FALSE)</f>
        <v>24</v>
      </c>
      <c r="Q981" t="str">
        <f>VLOOKUP(E981,Sales_Reps!$A:$E,3,FALSE)</f>
        <v>South</v>
      </c>
      <c r="R981" t="str">
        <f>VLOOKUP(E981,Sales_Reps!$A:$E,2,FALSE)</f>
        <v>Manoj Patel</v>
      </c>
      <c r="S981">
        <f t="shared" si="15"/>
        <v>0.49333333333333335</v>
      </c>
    </row>
    <row r="982" spans="1:19" x14ac:dyDescent="0.3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  <c r="L982" t="str">
        <f>VLOOKUP(D982,Products!$A:$F,3,FALSE)</f>
        <v>Grocery</v>
      </c>
      <c r="M982" t="b">
        <f>VLOOKUP(D982,Products!$A:$F,6,FALSE)</f>
        <v>1</v>
      </c>
      <c r="N982">
        <f>VLOOKUP(D982,Products!$A:$F,4,FALSE)</f>
        <v>2436</v>
      </c>
      <c r="O982" t="str">
        <f>VLOOKUP(C982,Customers!$A:$F,5,FALSE)</f>
        <v>Retail</v>
      </c>
      <c r="P982">
        <f>VLOOKUP(C982,Customers!$A:$F,3,FALSE)</f>
        <v>49</v>
      </c>
      <c r="Q982" t="str">
        <f>VLOOKUP(E982,Sales_Reps!$A:$E,3,FALSE)</f>
        <v>South</v>
      </c>
      <c r="R982" t="str">
        <f>VLOOKUP(E982,Sales_Reps!$A:$E,2,FALSE)</f>
        <v>Anil Verma</v>
      </c>
      <c r="S982">
        <f t="shared" si="15"/>
        <v>0.35555555555555557</v>
      </c>
    </row>
    <row r="983" spans="1:19" x14ac:dyDescent="0.3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  <c r="L983" t="str">
        <f>VLOOKUP(D983,Products!$A:$F,3,FALSE)</f>
        <v>Grocery</v>
      </c>
      <c r="M983" t="b">
        <f>VLOOKUP(D983,Products!$A:$F,6,FALSE)</f>
        <v>1</v>
      </c>
      <c r="N983">
        <f>VLOOKUP(D983,Products!$A:$F,4,FALSE)</f>
        <v>1435</v>
      </c>
      <c r="O983" t="str">
        <f>VLOOKUP(C983,Customers!$A:$F,5,FALSE)</f>
        <v>Retail</v>
      </c>
      <c r="P983">
        <f>VLOOKUP(C983,Customers!$A:$F,3,FALSE)</f>
        <v>50</v>
      </c>
      <c r="Q983" t="str">
        <f>VLOOKUP(E983,Sales_Reps!$A:$E,3,FALSE)</f>
        <v>North</v>
      </c>
      <c r="R983" t="str">
        <f>VLOOKUP(E983,Sales_Reps!$A:$E,2,FALSE)</f>
        <v>Sunita Malhotra</v>
      </c>
      <c r="S983">
        <f t="shared" si="15"/>
        <v>0.48007246376811596</v>
      </c>
    </row>
    <row r="984" spans="1:19" x14ac:dyDescent="0.3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  <c r="L984" t="str">
        <f>VLOOKUP(D984,Products!$A:$F,3,FALSE)</f>
        <v>Beauty</v>
      </c>
      <c r="M984" t="b">
        <f>VLOOKUP(D984,Products!$A:$F,6,FALSE)</f>
        <v>0</v>
      </c>
      <c r="N984">
        <f>VLOOKUP(D984,Products!$A:$F,4,FALSE)</f>
        <v>647</v>
      </c>
      <c r="O984" t="str">
        <f>VLOOKUP(C984,Customers!$A:$F,5,FALSE)</f>
        <v>Retail</v>
      </c>
      <c r="P984">
        <f>VLOOKUP(C984,Customers!$A:$F,3,FALSE)</f>
        <v>31</v>
      </c>
      <c r="Q984" t="str">
        <f>VLOOKUP(E984,Sales_Reps!$A:$E,3,FALSE)</f>
        <v>West</v>
      </c>
      <c r="R984" t="str">
        <f>VLOOKUP(E984,Sales_Reps!$A:$E,2,FALSE)</f>
        <v>Arun Iyer</v>
      </c>
      <c r="S984">
        <f t="shared" si="15"/>
        <v>0.57987012987012987</v>
      </c>
    </row>
    <row r="985" spans="1:19" x14ac:dyDescent="0.3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  <c r="L985" t="str">
        <f>VLOOKUP(D985,Products!$A:$F,3,FALSE)</f>
        <v>Home</v>
      </c>
      <c r="M985" t="b">
        <f>VLOOKUP(D985,Products!$A:$F,6,FALSE)</f>
        <v>1</v>
      </c>
      <c r="N985">
        <f>VLOOKUP(D985,Products!$A:$F,4,FALSE)</f>
        <v>2135</v>
      </c>
      <c r="O985" t="str">
        <f>VLOOKUP(C985,Customers!$A:$F,5,FALSE)</f>
        <v>Retail</v>
      </c>
      <c r="P985">
        <f>VLOOKUP(C985,Customers!$A:$F,3,FALSE)</f>
        <v>27</v>
      </c>
      <c r="Q985" t="str">
        <f>VLOOKUP(E985,Sales_Reps!$A:$E,3,FALSE)</f>
        <v>North</v>
      </c>
      <c r="R985" t="str">
        <f>VLOOKUP(E985,Sales_Reps!$A:$E,2,FALSE)</f>
        <v>Suresh Menon</v>
      </c>
      <c r="S985">
        <f t="shared" si="15"/>
        <v>0.42761394101876676</v>
      </c>
    </row>
    <row r="986" spans="1:19" x14ac:dyDescent="0.3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  <c r="L986" t="str">
        <f>VLOOKUP(D986,Products!$A:$F,3,FALSE)</f>
        <v>Home</v>
      </c>
      <c r="M986" t="b">
        <f>VLOOKUP(D986,Products!$A:$F,6,FALSE)</f>
        <v>1</v>
      </c>
      <c r="N986">
        <f>VLOOKUP(D986,Products!$A:$F,4,FALSE)</f>
        <v>2135</v>
      </c>
      <c r="O986" t="str">
        <f>VLOOKUP(C986,Customers!$A:$F,5,FALSE)</f>
        <v>Retail</v>
      </c>
      <c r="P986">
        <f>VLOOKUP(C986,Customers!$A:$F,3,FALSE)</f>
        <v>52</v>
      </c>
      <c r="Q986" t="str">
        <f>VLOOKUP(E986,Sales_Reps!$A:$E,3,FALSE)</f>
        <v>West</v>
      </c>
      <c r="R986" t="str">
        <f>VLOOKUP(E986,Sales_Reps!$A:$E,2,FALSE)</f>
        <v>Ramesh Bhatt</v>
      </c>
      <c r="S986">
        <f t="shared" si="15"/>
        <v>0.42761394101876676</v>
      </c>
    </row>
    <row r="987" spans="1:19" x14ac:dyDescent="0.3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  <c r="L987" t="str">
        <f>VLOOKUP(D987,Products!$A:$F,3,FALSE)</f>
        <v>Apparel</v>
      </c>
      <c r="M987" t="b">
        <f>VLOOKUP(D987,Products!$A:$F,6,FALSE)</f>
        <v>1</v>
      </c>
      <c r="N987">
        <f>VLOOKUP(D987,Products!$A:$F,4,FALSE)</f>
        <v>1886</v>
      </c>
      <c r="O987" t="str">
        <f>VLOOKUP(C987,Customers!$A:$F,5,FALSE)</f>
        <v>Retail</v>
      </c>
      <c r="P987">
        <f>VLOOKUP(C987,Customers!$A:$F,3,FALSE)</f>
        <v>62</v>
      </c>
      <c r="Q987" t="str">
        <f>VLOOKUP(E987,Sales_Reps!$A:$E,3,FALSE)</f>
        <v>South</v>
      </c>
      <c r="R987" t="str">
        <f>VLOOKUP(E987,Sales_Reps!$A:$E,2,FALSE)</f>
        <v>Sanjay Kapoor</v>
      </c>
      <c r="S987">
        <f t="shared" si="15"/>
        <v>0.4031645569620253</v>
      </c>
    </row>
    <row r="988" spans="1:19" x14ac:dyDescent="0.3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  <c r="L988" t="str">
        <f>VLOOKUP(D988,Products!$A:$F,3,FALSE)</f>
        <v>Beauty</v>
      </c>
      <c r="M988" t="b">
        <f>VLOOKUP(D988,Products!$A:$F,6,FALSE)</f>
        <v>1</v>
      </c>
      <c r="N988">
        <f>VLOOKUP(D988,Products!$A:$F,4,FALSE)</f>
        <v>1219</v>
      </c>
      <c r="O988" t="str">
        <f>VLOOKUP(C988,Customers!$A:$F,5,FALSE)</f>
        <v>Retail</v>
      </c>
      <c r="P988">
        <f>VLOOKUP(C988,Customers!$A:$F,3,FALSE)</f>
        <v>53</v>
      </c>
      <c r="Q988" t="str">
        <f>VLOOKUP(E988,Sales_Reps!$A:$E,3,FALSE)</f>
        <v>East</v>
      </c>
      <c r="R988" t="str">
        <f>VLOOKUP(E988,Sales_Reps!$A:$E,2,FALSE)</f>
        <v>Nisha Menon</v>
      </c>
      <c r="S988">
        <f t="shared" si="15"/>
        <v>0.46768558951965067</v>
      </c>
    </row>
    <row r="989" spans="1:19" x14ac:dyDescent="0.3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  <c r="L989" t="str">
        <f>VLOOKUP(D989,Products!$A:$F,3,FALSE)</f>
        <v>Electronics</v>
      </c>
      <c r="M989" t="b">
        <f>VLOOKUP(D989,Products!$A:$F,6,FALSE)</f>
        <v>1</v>
      </c>
      <c r="N989">
        <f>VLOOKUP(D989,Products!$A:$F,4,FALSE)</f>
        <v>1559</v>
      </c>
      <c r="O989" t="str">
        <f>VLOOKUP(C989,Customers!$A:$F,5,FALSE)</f>
        <v>Corporate</v>
      </c>
      <c r="P989">
        <f>VLOOKUP(C989,Customers!$A:$F,3,FALSE)</f>
        <v>48</v>
      </c>
      <c r="Q989" t="str">
        <f>VLOOKUP(E989,Sales_Reps!$A:$E,3,FALSE)</f>
        <v>South</v>
      </c>
      <c r="R989" t="str">
        <f>VLOOKUP(E989,Sales_Reps!$A:$E,2,FALSE)</f>
        <v>Sanjay Kapoor</v>
      </c>
      <c r="S989">
        <f t="shared" si="15"/>
        <v>0.59715762273901807</v>
      </c>
    </row>
    <row r="990" spans="1:19" x14ac:dyDescent="0.3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  <c r="L990" t="str">
        <f>VLOOKUP(D990,Products!$A:$F,3,FALSE)</f>
        <v>Electronics</v>
      </c>
      <c r="M990" t="b">
        <f>VLOOKUP(D990,Products!$A:$F,6,FALSE)</f>
        <v>1</v>
      </c>
      <c r="N990">
        <f>VLOOKUP(D990,Products!$A:$F,4,FALSE)</f>
        <v>1665</v>
      </c>
      <c r="O990" t="str">
        <f>VLOOKUP(C990,Customers!$A:$F,5,FALSE)</f>
        <v>Retail</v>
      </c>
      <c r="P990">
        <f>VLOOKUP(C990,Customers!$A:$F,3,FALSE)</f>
        <v>55</v>
      </c>
      <c r="Q990" t="str">
        <f>VLOOKUP(E990,Sales_Reps!$A:$E,3,FALSE)</f>
        <v>North</v>
      </c>
      <c r="R990" t="str">
        <f>VLOOKUP(E990,Sales_Reps!$A:$E,2,FALSE)</f>
        <v>Suresh Menon</v>
      </c>
      <c r="S990">
        <f t="shared" si="15"/>
        <v>0.53361344537815125</v>
      </c>
    </row>
    <row r="991" spans="1:19" x14ac:dyDescent="0.3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  <c r="L991" t="str">
        <f>VLOOKUP(D991,Products!$A:$F,3,FALSE)</f>
        <v>Sports</v>
      </c>
      <c r="M991" t="b">
        <f>VLOOKUP(D991,Products!$A:$F,6,FALSE)</f>
        <v>1</v>
      </c>
      <c r="N991">
        <f>VLOOKUP(D991,Products!$A:$F,4,FALSE)</f>
        <v>516</v>
      </c>
      <c r="O991" t="str">
        <f>VLOOKUP(C991,Customers!$A:$F,5,FALSE)</f>
        <v>Retail</v>
      </c>
      <c r="P991">
        <f>VLOOKUP(C991,Customers!$A:$F,3,FALSE)</f>
        <v>38</v>
      </c>
      <c r="Q991" t="str">
        <f>VLOOKUP(E991,Sales_Reps!$A:$E,3,FALSE)</f>
        <v>North</v>
      </c>
      <c r="R991" t="str">
        <f>VLOOKUP(E991,Sales_Reps!$A:$E,2,FALSE)</f>
        <v>Rajesh Malhotra</v>
      </c>
      <c r="S991">
        <f t="shared" si="15"/>
        <v>0.4891089108910891</v>
      </c>
    </row>
    <row r="992" spans="1:19" x14ac:dyDescent="0.3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  <c r="L992" t="str">
        <f>VLOOKUP(D992,Products!$A:$F,3,FALSE)</f>
        <v>Beauty</v>
      </c>
      <c r="M992" t="b">
        <f>VLOOKUP(D992,Products!$A:$F,6,FALSE)</f>
        <v>1</v>
      </c>
      <c r="N992">
        <f>VLOOKUP(D992,Products!$A:$F,4,FALSE)</f>
        <v>1219</v>
      </c>
      <c r="O992" t="str">
        <f>VLOOKUP(C992,Customers!$A:$F,5,FALSE)</f>
        <v>Corporate</v>
      </c>
      <c r="P992">
        <f>VLOOKUP(C992,Customers!$A:$F,3,FALSE)</f>
        <v>51</v>
      </c>
      <c r="Q992" t="str">
        <f>VLOOKUP(E992,Sales_Reps!$A:$E,3,FALSE)</f>
        <v>North</v>
      </c>
      <c r="R992" t="str">
        <f>VLOOKUP(E992,Sales_Reps!$A:$E,2,FALSE)</f>
        <v>Priya Singh</v>
      </c>
      <c r="S992">
        <f t="shared" si="15"/>
        <v>0.46768558951965067</v>
      </c>
    </row>
    <row r="993" spans="1:19" x14ac:dyDescent="0.3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  <c r="L993" t="str">
        <f>VLOOKUP(D993,Products!$A:$F,3,FALSE)</f>
        <v>Home</v>
      </c>
      <c r="M993" t="b">
        <f>VLOOKUP(D993,Products!$A:$F,6,FALSE)</f>
        <v>1</v>
      </c>
      <c r="N993">
        <f>VLOOKUP(D993,Products!$A:$F,4,FALSE)</f>
        <v>1850</v>
      </c>
      <c r="O993" t="str">
        <f>VLOOKUP(C993,Customers!$A:$F,5,FALSE)</f>
        <v>Corporate</v>
      </c>
      <c r="P993">
        <f>VLOOKUP(C993,Customers!$A:$F,3,FALSE)</f>
        <v>52</v>
      </c>
      <c r="Q993" t="str">
        <f>VLOOKUP(E993,Sales_Reps!$A:$E,3,FALSE)</f>
        <v>East</v>
      </c>
      <c r="R993" t="str">
        <f>VLOOKUP(E993,Sales_Reps!$A:$E,2,FALSE)</f>
        <v>Prakash Shah</v>
      </c>
      <c r="S993">
        <f t="shared" si="15"/>
        <v>0.59869848156182215</v>
      </c>
    </row>
    <row r="994" spans="1:19" x14ac:dyDescent="0.3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  <c r="L994" t="str">
        <f>VLOOKUP(D994,Products!$A:$F,3,FALSE)</f>
        <v>Apparel</v>
      </c>
      <c r="M994" t="b">
        <f>VLOOKUP(D994,Products!$A:$F,6,FALSE)</f>
        <v>0</v>
      </c>
      <c r="N994">
        <f>VLOOKUP(D994,Products!$A:$F,4,FALSE)</f>
        <v>1075</v>
      </c>
      <c r="O994" t="str">
        <f>VLOOKUP(C994,Customers!$A:$F,5,FALSE)</f>
        <v>Corporate</v>
      </c>
      <c r="P994">
        <f>VLOOKUP(C994,Customers!$A:$F,3,FALSE)</f>
        <v>37</v>
      </c>
      <c r="Q994" t="str">
        <f>VLOOKUP(E994,Sales_Reps!$A:$E,3,FALSE)</f>
        <v>North</v>
      </c>
      <c r="R994" t="str">
        <f>VLOOKUP(E994,Sales_Reps!$A:$E,2,FALSE)</f>
        <v>Amit Singh</v>
      </c>
      <c r="S994">
        <f t="shared" si="15"/>
        <v>0.57171314741035861</v>
      </c>
    </row>
    <row r="995" spans="1:19" x14ac:dyDescent="0.3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  <c r="L995" t="str">
        <f>VLOOKUP(D995,Products!$A:$F,3,FALSE)</f>
        <v>Beauty</v>
      </c>
      <c r="M995" t="b">
        <f>VLOOKUP(D995,Products!$A:$F,6,FALSE)</f>
        <v>1</v>
      </c>
      <c r="N995">
        <f>VLOOKUP(D995,Products!$A:$F,4,FALSE)</f>
        <v>1626</v>
      </c>
      <c r="O995" t="str">
        <f>VLOOKUP(C995,Customers!$A:$F,5,FALSE)</f>
        <v>SMB</v>
      </c>
      <c r="P995">
        <f>VLOOKUP(C995,Customers!$A:$F,3,FALSE)</f>
        <v>27</v>
      </c>
      <c r="Q995" t="str">
        <f>VLOOKUP(E995,Sales_Reps!$A:$E,3,FALSE)</f>
        <v>South</v>
      </c>
      <c r="R995" t="str">
        <f>VLOOKUP(E995,Sales_Reps!$A:$E,2,FALSE)</f>
        <v>Manoj Patel</v>
      </c>
      <c r="S995">
        <f t="shared" si="15"/>
        <v>0.46158940397350995</v>
      </c>
    </row>
    <row r="996" spans="1:19" x14ac:dyDescent="0.3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  <c r="L996" t="str">
        <f>VLOOKUP(D996,Products!$A:$F,3,FALSE)</f>
        <v>Sports</v>
      </c>
      <c r="M996" t="b">
        <f>VLOOKUP(D996,Products!$A:$F,6,FALSE)</f>
        <v>1</v>
      </c>
      <c r="N996">
        <f>VLOOKUP(D996,Products!$A:$F,4,FALSE)</f>
        <v>147</v>
      </c>
      <c r="O996" t="str">
        <f>VLOOKUP(C996,Customers!$A:$F,5,FALSE)</f>
        <v>Retail</v>
      </c>
      <c r="P996">
        <f>VLOOKUP(C996,Customers!$A:$F,3,FALSE)</f>
        <v>62</v>
      </c>
      <c r="Q996" t="str">
        <f>VLOOKUP(E996,Sales_Reps!$A:$E,3,FALSE)</f>
        <v>South</v>
      </c>
      <c r="R996" t="str">
        <f>VLOOKUP(E996,Sales_Reps!$A:$E,2,FALSE)</f>
        <v>Pooja Nair</v>
      </c>
      <c r="S996">
        <f t="shared" si="15"/>
        <v>0.22631578947368422</v>
      </c>
    </row>
    <row r="997" spans="1:19" x14ac:dyDescent="0.3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  <c r="L997" t="str">
        <f>VLOOKUP(D997,Products!$A:$F,3,FALSE)</f>
        <v>Home</v>
      </c>
      <c r="M997" t="b">
        <f>VLOOKUP(D997,Products!$A:$F,6,FALSE)</f>
        <v>1</v>
      </c>
      <c r="N997">
        <f>VLOOKUP(D997,Products!$A:$F,4,FALSE)</f>
        <v>1143</v>
      </c>
      <c r="O997" t="str">
        <f>VLOOKUP(C997,Customers!$A:$F,5,FALSE)</f>
        <v>Retail</v>
      </c>
      <c r="P997">
        <f>VLOOKUP(C997,Customers!$A:$F,3,FALSE)</f>
        <v>36</v>
      </c>
      <c r="Q997" t="str">
        <f>VLOOKUP(E997,Sales_Reps!$A:$E,3,FALSE)</f>
        <v>North</v>
      </c>
      <c r="R997" t="str">
        <f>VLOOKUP(E997,Sales_Reps!$A:$E,2,FALSE)</f>
        <v>Sunita Malhotra</v>
      </c>
      <c r="S997">
        <f t="shared" si="15"/>
        <v>0.43694581280788175</v>
      </c>
    </row>
    <row r="998" spans="1:19" x14ac:dyDescent="0.3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  <c r="L998" t="str">
        <f>VLOOKUP(D998,Products!$A:$F,3,FALSE)</f>
        <v>Home</v>
      </c>
      <c r="M998" t="b">
        <f>VLOOKUP(D998,Products!$A:$F,6,FALSE)</f>
        <v>1</v>
      </c>
      <c r="N998">
        <f>VLOOKUP(D998,Products!$A:$F,4,FALSE)</f>
        <v>1556</v>
      </c>
      <c r="O998" t="str">
        <f>VLOOKUP(C998,Customers!$A:$F,5,FALSE)</f>
        <v>Retail</v>
      </c>
      <c r="P998">
        <f>VLOOKUP(C998,Customers!$A:$F,3,FALSE)</f>
        <v>52</v>
      </c>
      <c r="Q998" t="str">
        <f>VLOOKUP(E998,Sales_Reps!$A:$E,3,FALSE)</f>
        <v>South</v>
      </c>
      <c r="R998" t="str">
        <f>VLOOKUP(E998,Sales_Reps!$A:$E,2,FALSE)</f>
        <v>Pooja Nair</v>
      </c>
      <c r="S998">
        <f t="shared" si="15"/>
        <v>0.52123076923076928</v>
      </c>
    </row>
    <row r="999" spans="1:19" x14ac:dyDescent="0.3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  <c r="L999" t="str">
        <f>VLOOKUP(D999,Products!$A:$F,3,FALSE)</f>
        <v>Home</v>
      </c>
      <c r="M999" t="b">
        <f>VLOOKUP(D999,Products!$A:$F,6,FALSE)</f>
        <v>1</v>
      </c>
      <c r="N999">
        <f>VLOOKUP(D999,Products!$A:$F,4,FALSE)</f>
        <v>1143</v>
      </c>
      <c r="O999" t="str">
        <f>VLOOKUP(C999,Customers!$A:$F,5,FALSE)</f>
        <v>Retail</v>
      </c>
      <c r="P999">
        <f>VLOOKUP(C999,Customers!$A:$F,3,FALSE)</f>
        <v>65</v>
      </c>
      <c r="Q999" t="str">
        <f>VLOOKUP(E999,Sales_Reps!$A:$E,3,FALSE)</f>
        <v>West</v>
      </c>
      <c r="R999" t="str">
        <f>VLOOKUP(E999,Sales_Reps!$A:$E,2,FALSE)</f>
        <v>Arun Iyer</v>
      </c>
      <c r="S999">
        <f t="shared" si="15"/>
        <v>0.43694581280788175</v>
      </c>
    </row>
    <row r="1000" spans="1:19" x14ac:dyDescent="0.3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  <c r="L1000" t="str">
        <f>VLOOKUP(D1000,Products!$A:$F,3,FALSE)</f>
        <v>Grocery</v>
      </c>
      <c r="M1000" t="b">
        <f>VLOOKUP(D1000,Products!$A:$F,6,FALSE)</f>
        <v>1</v>
      </c>
      <c r="N1000">
        <f>VLOOKUP(D1000,Products!$A:$F,4,FALSE)</f>
        <v>1182</v>
      </c>
      <c r="O1000" t="str">
        <f>VLOOKUP(C1000,Customers!$A:$F,5,FALSE)</f>
        <v>SMB</v>
      </c>
      <c r="P1000">
        <f>VLOOKUP(C1000,Customers!$A:$F,3,FALSE)</f>
        <v>47</v>
      </c>
      <c r="Q1000" t="str">
        <f>VLOOKUP(E1000,Sales_Reps!$A:$E,3,FALSE)</f>
        <v>West</v>
      </c>
      <c r="R1000" t="str">
        <f>VLOOKUP(E1000,Sales_Reps!$A:$E,2,FALSE)</f>
        <v>Ashok Reddy</v>
      </c>
      <c r="S1000">
        <f t="shared" si="15"/>
        <v>0.50336134453781511</v>
      </c>
    </row>
    <row r="1001" spans="1:19" x14ac:dyDescent="0.3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  <c r="L1001" t="str">
        <f>VLOOKUP(D1001,Products!$A:$F,3,FALSE)</f>
        <v>Apparel</v>
      </c>
      <c r="M1001" t="b">
        <f>VLOOKUP(D1001,Products!$A:$F,6,FALSE)</f>
        <v>1</v>
      </c>
      <c r="N1001">
        <f>VLOOKUP(D1001,Products!$A:$F,4,FALSE)</f>
        <v>1748</v>
      </c>
      <c r="O1001" t="str">
        <f>VLOOKUP(C1001,Customers!$A:$F,5,FALSE)</f>
        <v>Retail</v>
      </c>
      <c r="P1001">
        <f>VLOOKUP(C1001,Customers!$A:$F,3,FALSE)</f>
        <v>38</v>
      </c>
      <c r="Q1001" t="str">
        <f>VLOOKUP(E1001,Sales_Reps!$A:$E,3,FALSE)</f>
        <v>West</v>
      </c>
      <c r="R1001" t="str">
        <f>VLOOKUP(E1001,Sales_Reps!$A:$E,2,FALSE)</f>
        <v>Rekha Chopra</v>
      </c>
      <c r="S1001">
        <f t="shared" si="15"/>
        <v>0.49333333333333335</v>
      </c>
    </row>
    <row r="1002" spans="1:19" x14ac:dyDescent="0.3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  <c r="L1002" t="str">
        <f>VLOOKUP(D1002,Products!$A:$F,3,FALSE)</f>
        <v>Apparel</v>
      </c>
      <c r="M1002" t="b">
        <f>VLOOKUP(D1002,Products!$A:$F,6,FALSE)</f>
        <v>1</v>
      </c>
      <c r="N1002">
        <f>VLOOKUP(D1002,Products!$A:$F,4,FALSE)</f>
        <v>1886</v>
      </c>
      <c r="O1002" t="str">
        <f>VLOOKUP(C1002,Customers!$A:$F,5,FALSE)</f>
        <v>Corporate</v>
      </c>
      <c r="P1002">
        <f>VLOOKUP(C1002,Customers!$A:$F,3,FALSE)</f>
        <v>29</v>
      </c>
      <c r="Q1002" t="str">
        <f>VLOOKUP(E1002,Sales_Reps!$A:$E,3,FALSE)</f>
        <v>North</v>
      </c>
      <c r="R1002" t="str">
        <f>VLOOKUP(E1002,Sales_Reps!$A:$E,2,FALSE)</f>
        <v>Sunita Malhotra</v>
      </c>
      <c r="S1002">
        <f t="shared" si="15"/>
        <v>0.4031645569620253</v>
      </c>
    </row>
    <row r="1003" spans="1:19" x14ac:dyDescent="0.3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  <c r="L1003" t="str">
        <f>VLOOKUP(D1003,Products!$A:$F,3,FALSE)</f>
        <v>Home</v>
      </c>
      <c r="M1003" t="b">
        <f>VLOOKUP(D1003,Products!$A:$F,6,FALSE)</f>
        <v>1</v>
      </c>
      <c r="N1003">
        <f>VLOOKUP(D1003,Products!$A:$F,4,FALSE)</f>
        <v>2549</v>
      </c>
      <c r="O1003" t="str">
        <f>VLOOKUP(C1003,Customers!$A:$F,5,FALSE)</f>
        <v>Retail</v>
      </c>
      <c r="P1003">
        <f>VLOOKUP(C1003,Customers!$A:$F,3,FALSE)</f>
        <v>60</v>
      </c>
      <c r="Q1003" t="str">
        <f>VLOOKUP(E1003,Sales_Reps!$A:$E,3,FALSE)</f>
        <v>West</v>
      </c>
      <c r="R1003" t="str">
        <f>VLOOKUP(E1003,Sales_Reps!$A:$E,2,FALSE)</f>
        <v>Sonia Malhotra</v>
      </c>
      <c r="S1003">
        <f t="shared" si="15"/>
        <v>0.53570127504553733</v>
      </c>
    </row>
    <row r="1004" spans="1:19" x14ac:dyDescent="0.3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  <c r="L1004" t="str">
        <f>VLOOKUP(D1004,Products!$A:$F,3,FALSE)</f>
        <v>Sports</v>
      </c>
      <c r="M1004" t="b">
        <f>VLOOKUP(D1004,Products!$A:$F,6,FALSE)</f>
        <v>1</v>
      </c>
      <c r="N1004">
        <f>VLOOKUP(D1004,Products!$A:$F,4,FALSE)</f>
        <v>2028</v>
      </c>
      <c r="O1004" t="str">
        <f>VLOOKUP(C1004,Customers!$A:$F,5,FALSE)</f>
        <v>SMB</v>
      </c>
      <c r="P1004">
        <f>VLOOKUP(C1004,Customers!$A:$F,3,FALSE)</f>
        <v>46</v>
      </c>
      <c r="Q1004" t="str">
        <f>VLOOKUP(E1004,Sales_Reps!$A:$E,3,FALSE)</f>
        <v>North</v>
      </c>
      <c r="R1004" t="str">
        <f>VLOOKUP(E1004,Sales_Reps!$A:$E,2,FALSE)</f>
        <v>Neha Desai</v>
      </c>
      <c r="S1004">
        <f t="shared" si="15"/>
        <v>0.29090909090909089</v>
      </c>
    </row>
    <row r="1005" spans="1:19" x14ac:dyDescent="0.3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  <c r="L1005" t="str">
        <f>VLOOKUP(D1005,Products!$A:$F,3,FALSE)</f>
        <v>Beauty</v>
      </c>
      <c r="M1005" t="b">
        <f>VLOOKUP(D1005,Products!$A:$F,6,FALSE)</f>
        <v>1</v>
      </c>
      <c r="N1005">
        <f>VLOOKUP(D1005,Products!$A:$F,4,FALSE)</f>
        <v>675</v>
      </c>
      <c r="O1005" t="str">
        <f>VLOOKUP(C1005,Customers!$A:$F,5,FALSE)</f>
        <v>Retail</v>
      </c>
      <c r="P1005">
        <f>VLOOKUP(C1005,Customers!$A:$F,3,FALSE)</f>
        <v>34</v>
      </c>
      <c r="Q1005" t="str">
        <f>VLOOKUP(E1005,Sales_Reps!$A:$E,3,FALSE)</f>
        <v>South</v>
      </c>
      <c r="R1005" t="str">
        <f>VLOOKUP(E1005,Sales_Reps!$A:$E,2,FALSE)</f>
        <v>Anil Verma</v>
      </c>
      <c r="S1005">
        <f t="shared" si="15"/>
        <v>0.296875</v>
      </c>
    </row>
    <row r="1006" spans="1:19" x14ac:dyDescent="0.3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  <c r="L1006" t="str">
        <f>VLOOKUP(D1006,Products!$A:$F,3,FALSE)</f>
        <v>Home</v>
      </c>
      <c r="M1006" t="b">
        <f>VLOOKUP(D1006,Products!$A:$F,6,FALSE)</f>
        <v>1</v>
      </c>
      <c r="N1006">
        <f>VLOOKUP(D1006,Products!$A:$F,4,FALSE)</f>
        <v>519</v>
      </c>
      <c r="O1006" t="str">
        <f>VLOOKUP(C1006,Customers!$A:$F,5,FALSE)</f>
        <v>Retail</v>
      </c>
      <c r="P1006">
        <f>VLOOKUP(C1006,Customers!$A:$F,3,FALSE)</f>
        <v>32</v>
      </c>
      <c r="Q1006" t="str">
        <f>VLOOKUP(E1006,Sales_Reps!$A:$E,3,FALSE)</f>
        <v>North</v>
      </c>
      <c r="R1006" t="str">
        <f>VLOOKUP(E1006,Sales_Reps!$A:$E,2,FALSE)</f>
        <v>Suresh Menon</v>
      </c>
      <c r="S1006">
        <f t="shared" si="15"/>
        <v>0.51944444444444449</v>
      </c>
    </row>
    <row r="1007" spans="1:19" x14ac:dyDescent="0.3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  <c r="L1007" t="str">
        <f>VLOOKUP(D1007,Products!$A:$F,3,FALSE)</f>
        <v>Sports</v>
      </c>
      <c r="M1007" t="b">
        <f>VLOOKUP(D1007,Products!$A:$F,6,FALSE)</f>
        <v>1</v>
      </c>
      <c r="N1007">
        <f>VLOOKUP(D1007,Products!$A:$F,4,FALSE)</f>
        <v>2028</v>
      </c>
      <c r="O1007" t="str">
        <f>VLOOKUP(C1007,Customers!$A:$F,5,FALSE)</f>
        <v>SMB</v>
      </c>
      <c r="P1007">
        <f>VLOOKUP(C1007,Customers!$A:$F,3,FALSE)</f>
        <v>54</v>
      </c>
      <c r="Q1007" t="str">
        <f>VLOOKUP(E1007,Sales_Reps!$A:$E,3,FALSE)</f>
        <v>North</v>
      </c>
      <c r="R1007" t="str">
        <f>VLOOKUP(E1007,Sales_Reps!$A:$E,2,FALSE)</f>
        <v>Rajesh Malhotra</v>
      </c>
      <c r="S1007">
        <f t="shared" si="15"/>
        <v>0.29090909090909089</v>
      </c>
    </row>
    <row r="1008" spans="1:19" x14ac:dyDescent="0.3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  <c r="L1008" t="str">
        <f>VLOOKUP(D1008,Products!$A:$F,3,FALSE)</f>
        <v>Apparel</v>
      </c>
      <c r="M1008" t="b">
        <f>VLOOKUP(D1008,Products!$A:$F,6,FALSE)</f>
        <v>1</v>
      </c>
      <c r="N1008">
        <f>VLOOKUP(D1008,Products!$A:$F,4,FALSE)</f>
        <v>2611</v>
      </c>
      <c r="O1008" t="str">
        <f>VLOOKUP(C1008,Customers!$A:$F,5,FALSE)</f>
        <v>Retail</v>
      </c>
      <c r="P1008">
        <f>VLOOKUP(C1008,Customers!$A:$F,3,FALSE)</f>
        <v>34</v>
      </c>
      <c r="Q1008" t="str">
        <f>VLOOKUP(E1008,Sales_Reps!$A:$E,3,FALSE)</f>
        <v>North</v>
      </c>
      <c r="R1008" t="str">
        <f>VLOOKUP(E1008,Sales_Reps!$A:$E,2,FALSE)</f>
        <v>Rajesh Malhotra</v>
      </c>
      <c r="S1008">
        <f t="shared" si="15"/>
        <v>0.28269230769230769</v>
      </c>
    </row>
    <row r="1009" spans="1:19" x14ac:dyDescent="0.3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  <c r="L1009" t="str">
        <f>VLOOKUP(D1009,Products!$A:$F,3,FALSE)</f>
        <v>Apparel</v>
      </c>
      <c r="M1009" t="b">
        <f>VLOOKUP(D1009,Products!$A:$F,6,FALSE)</f>
        <v>1</v>
      </c>
      <c r="N1009">
        <f>VLOOKUP(D1009,Products!$A:$F,4,FALSE)</f>
        <v>1962</v>
      </c>
      <c r="O1009" t="str">
        <f>VLOOKUP(C1009,Customers!$A:$F,5,FALSE)</f>
        <v>SMB</v>
      </c>
      <c r="P1009">
        <f>VLOOKUP(C1009,Customers!$A:$F,3,FALSE)</f>
        <v>40</v>
      </c>
      <c r="Q1009" t="str">
        <f>VLOOKUP(E1009,Sales_Reps!$A:$E,3,FALSE)</f>
        <v>East</v>
      </c>
      <c r="R1009" t="str">
        <f>VLOOKUP(E1009,Sales_Reps!$A:$E,2,FALSE)</f>
        <v>Shalini Patel</v>
      </c>
      <c r="S1009">
        <f t="shared" si="15"/>
        <v>0.2786764705882353</v>
      </c>
    </row>
    <row r="1010" spans="1:19" x14ac:dyDescent="0.3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  <c r="L1010" t="str">
        <f>VLOOKUP(D1010,Products!$A:$F,3,FALSE)</f>
        <v>Grocery</v>
      </c>
      <c r="M1010" t="b">
        <f>VLOOKUP(D1010,Products!$A:$F,6,FALSE)</f>
        <v>1</v>
      </c>
      <c r="N1010">
        <f>VLOOKUP(D1010,Products!$A:$F,4,FALSE)</f>
        <v>1203</v>
      </c>
      <c r="O1010" t="str">
        <f>VLOOKUP(C1010,Customers!$A:$F,5,FALSE)</f>
        <v>SMB</v>
      </c>
      <c r="P1010">
        <f>VLOOKUP(C1010,Customers!$A:$F,3,FALSE)</f>
        <v>48</v>
      </c>
      <c r="Q1010" t="str">
        <f>VLOOKUP(E1010,Sales_Reps!$A:$E,3,FALSE)</f>
        <v>North</v>
      </c>
      <c r="R1010" t="str">
        <f>VLOOKUP(E1010,Sales_Reps!$A:$E,2,FALSE)</f>
        <v>Kavita Patel</v>
      </c>
      <c r="S1010">
        <f t="shared" si="15"/>
        <v>0.47004405286343615</v>
      </c>
    </row>
    <row r="1011" spans="1:19" x14ac:dyDescent="0.3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  <c r="L1011" t="str">
        <f>VLOOKUP(D1011,Products!$A:$F,3,FALSE)</f>
        <v>Electronics</v>
      </c>
      <c r="M1011" t="b">
        <f>VLOOKUP(D1011,Products!$A:$F,6,FALSE)</f>
        <v>1</v>
      </c>
      <c r="N1011">
        <f>VLOOKUP(D1011,Products!$A:$F,4,FALSE)</f>
        <v>517</v>
      </c>
      <c r="O1011" t="str">
        <f>VLOOKUP(C1011,Customers!$A:$F,5,FALSE)</f>
        <v>SMB</v>
      </c>
      <c r="P1011">
        <f>VLOOKUP(C1011,Customers!$A:$F,3,FALSE)</f>
        <v>25</v>
      </c>
      <c r="Q1011" t="str">
        <f>VLOOKUP(E1011,Sales_Reps!$A:$E,3,FALSE)</f>
        <v>West</v>
      </c>
      <c r="R1011" t="str">
        <f>VLOOKUP(E1011,Sales_Reps!$A:$E,2,FALSE)</f>
        <v>Arun Iyer</v>
      </c>
      <c r="S1011">
        <f t="shared" si="15"/>
        <v>0.57622950819672136</v>
      </c>
    </row>
    <row r="1012" spans="1:19" x14ac:dyDescent="0.3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  <c r="L1012" t="str">
        <f>VLOOKUP(D1012,Products!$A:$F,3,FALSE)</f>
        <v>Electronics</v>
      </c>
      <c r="M1012" t="b">
        <f>VLOOKUP(D1012,Products!$A:$F,6,FALSE)</f>
        <v>1</v>
      </c>
      <c r="N1012">
        <f>VLOOKUP(D1012,Products!$A:$F,4,FALSE)</f>
        <v>1149</v>
      </c>
      <c r="O1012" t="str">
        <f>VLOOKUP(C1012,Customers!$A:$F,5,FALSE)</f>
        <v>Retail</v>
      </c>
      <c r="P1012">
        <f>VLOOKUP(C1012,Customers!$A:$F,3,FALSE)</f>
        <v>29</v>
      </c>
      <c r="Q1012" t="str">
        <f>VLOOKUP(E1012,Sales_Reps!$A:$E,3,FALSE)</f>
        <v>South</v>
      </c>
      <c r="R1012" t="str">
        <f>VLOOKUP(E1012,Sales_Reps!$A:$E,2,FALSE)</f>
        <v>Deepak Shah</v>
      </c>
      <c r="S1012">
        <f t="shared" si="15"/>
        <v>0.56477272727272732</v>
      </c>
    </row>
    <row r="1013" spans="1:19" x14ac:dyDescent="0.3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  <c r="L1013" t="str">
        <f>VLOOKUP(D1013,Products!$A:$F,3,FALSE)</f>
        <v>Grocery</v>
      </c>
      <c r="M1013" t="b">
        <f>VLOOKUP(D1013,Products!$A:$F,6,FALSE)</f>
        <v>1</v>
      </c>
      <c r="N1013">
        <f>VLOOKUP(D1013,Products!$A:$F,4,FALSE)</f>
        <v>434</v>
      </c>
      <c r="O1013" t="str">
        <f>VLOOKUP(C1013,Customers!$A:$F,5,FALSE)</f>
        <v>SMB</v>
      </c>
      <c r="P1013">
        <f>VLOOKUP(C1013,Customers!$A:$F,3,FALSE)</f>
        <v>44</v>
      </c>
      <c r="Q1013" t="str">
        <f>VLOOKUP(E1013,Sales_Reps!$A:$E,3,FALSE)</f>
        <v>South</v>
      </c>
      <c r="R1013" t="str">
        <f>VLOOKUP(E1013,Sales_Reps!$A:$E,2,FALSE)</f>
        <v>Deepak Shah</v>
      </c>
      <c r="S1013">
        <f t="shared" si="15"/>
        <v>0.5525773195876289</v>
      </c>
    </row>
    <row r="1014" spans="1:19" x14ac:dyDescent="0.3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  <c r="L1014" t="str">
        <f>VLOOKUP(D1014,Products!$A:$F,3,FALSE)</f>
        <v>Home</v>
      </c>
      <c r="M1014" t="b">
        <f>VLOOKUP(D1014,Products!$A:$F,6,FALSE)</f>
        <v>1</v>
      </c>
      <c r="N1014">
        <f>VLOOKUP(D1014,Products!$A:$F,4,FALSE)</f>
        <v>2135</v>
      </c>
      <c r="O1014" t="str">
        <f>VLOOKUP(C1014,Customers!$A:$F,5,FALSE)</f>
        <v>Retail</v>
      </c>
      <c r="P1014">
        <f>VLOOKUP(C1014,Customers!$A:$F,3,FALSE)</f>
        <v>44</v>
      </c>
      <c r="Q1014" t="str">
        <f>VLOOKUP(E1014,Sales_Reps!$A:$E,3,FALSE)</f>
        <v>West</v>
      </c>
      <c r="R1014" t="str">
        <f>VLOOKUP(E1014,Sales_Reps!$A:$E,2,FALSE)</f>
        <v>Ashok Reddy</v>
      </c>
      <c r="S1014">
        <f t="shared" si="15"/>
        <v>0.42761394101876676</v>
      </c>
    </row>
    <row r="1015" spans="1:19" x14ac:dyDescent="0.3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  <c r="L1015" t="str">
        <f>VLOOKUP(D1015,Products!$A:$F,3,FALSE)</f>
        <v>Grocery</v>
      </c>
      <c r="M1015" t="b">
        <f>VLOOKUP(D1015,Products!$A:$F,6,FALSE)</f>
        <v>1</v>
      </c>
      <c r="N1015">
        <f>VLOOKUP(D1015,Products!$A:$F,4,FALSE)</f>
        <v>434</v>
      </c>
      <c r="O1015" t="str">
        <f>VLOOKUP(C1015,Customers!$A:$F,5,FALSE)</f>
        <v>Retail</v>
      </c>
      <c r="P1015">
        <f>VLOOKUP(C1015,Customers!$A:$F,3,FALSE)</f>
        <v>31</v>
      </c>
      <c r="Q1015" t="str">
        <f>VLOOKUP(E1015,Sales_Reps!$A:$E,3,FALSE)</f>
        <v>West</v>
      </c>
      <c r="R1015" t="str">
        <f>VLOOKUP(E1015,Sales_Reps!$A:$E,2,FALSE)</f>
        <v>Rekha Chopra</v>
      </c>
      <c r="S1015">
        <f t="shared" si="15"/>
        <v>0.5525773195876289</v>
      </c>
    </row>
    <row r="1016" spans="1:19" x14ac:dyDescent="0.3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  <c r="L1016" t="str">
        <f>VLOOKUP(D1016,Products!$A:$F,3,FALSE)</f>
        <v>Electronics</v>
      </c>
      <c r="M1016" t="b">
        <f>VLOOKUP(D1016,Products!$A:$F,6,FALSE)</f>
        <v>1</v>
      </c>
      <c r="N1016">
        <f>VLOOKUP(D1016,Products!$A:$F,4,FALSE)</f>
        <v>1665</v>
      </c>
      <c r="O1016" t="str">
        <f>VLOOKUP(C1016,Customers!$A:$F,5,FALSE)</f>
        <v>SMB</v>
      </c>
      <c r="P1016">
        <f>VLOOKUP(C1016,Customers!$A:$F,3,FALSE)</f>
        <v>28</v>
      </c>
      <c r="Q1016" t="str">
        <f>VLOOKUP(E1016,Sales_Reps!$A:$E,3,FALSE)</f>
        <v>East</v>
      </c>
      <c r="R1016" t="str">
        <f>VLOOKUP(E1016,Sales_Reps!$A:$E,2,FALSE)</f>
        <v>Nisha Menon</v>
      </c>
      <c r="S1016">
        <f t="shared" si="15"/>
        <v>0.53361344537815125</v>
      </c>
    </row>
    <row r="1017" spans="1:19" x14ac:dyDescent="0.3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  <c r="L1017" t="str">
        <f>VLOOKUP(D1017,Products!$A:$F,3,FALSE)</f>
        <v>Grocery</v>
      </c>
      <c r="M1017" t="b">
        <f>VLOOKUP(D1017,Products!$A:$F,6,FALSE)</f>
        <v>1</v>
      </c>
      <c r="N1017">
        <f>VLOOKUP(D1017,Products!$A:$F,4,FALSE)</f>
        <v>434</v>
      </c>
      <c r="O1017" t="str">
        <f>VLOOKUP(C1017,Customers!$A:$F,5,FALSE)</f>
        <v>Retail</v>
      </c>
      <c r="P1017">
        <f>VLOOKUP(C1017,Customers!$A:$F,3,FALSE)</f>
        <v>26</v>
      </c>
      <c r="Q1017" t="str">
        <f>VLOOKUP(E1017,Sales_Reps!$A:$E,3,FALSE)</f>
        <v>South</v>
      </c>
      <c r="R1017" t="str">
        <f>VLOOKUP(E1017,Sales_Reps!$A:$E,2,FALSE)</f>
        <v>Anjali Chopra</v>
      </c>
      <c r="S1017">
        <f t="shared" si="15"/>
        <v>0.5525773195876289</v>
      </c>
    </row>
    <row r="1018" spans="1:19" x14ac:dyDescent="0.3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  <c r="L1018" t="str">
        <f>VLOOKUP(D1018,Products!$A:$F,3,FALSE)</f>
        <v>Sports</v>
      </c>
      <c r="M1018" t="b">
        <f>VLOOKUP(D1018,Products!$A:$F,6,FALSE)</f>
        <v>1</v>
      </c>
      <c r="N1018">
        <f>VLOOKUP(D1018,Products!$A:$F,4,FALSE)</f>
        <v>1860</v>
      </c>
      <c r="O1018" t="str">
        <f>VLOOKUP(C1018,Customers!$A:$F,5,FALSE)</f>
        <v>SMB</v>
      </c>
      <c r="P1018">
        <f>VLOOKUP(C1018,Customers!$A:$F,3,FALSE)</f>
        <v>50</v>
      </c>
      <c r="Q1018" t="str">
        <f>VLOOKUP(E1018,Sales_Reps!$A:$E,3,FALSE)</f>
        <v>South</v>
      </c>
      <c r="R1018" t="str">
        <f>VLOOKUP(E1018,Sales_Reps!$A:$E,2,FALSE)</f>
        <v>Anil Verma</v>
      </c>
      <c r="S1018">
        <f t="shared" si="15"/>
        <v>0.50793650793650791</v>
      </c>
    </row>
    <row r="1019" spans="1:19" x14ac:dyDescent="0.3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  <c r="L1019" t="str">
        <f>VLOOKUP(D1019,Products!$A:$F,3,FALSE)</f>
        <v>Sports</v>
      </c>
      <c r="M1019" t="b">
        <f>VLOOKUP(D1019,Products!$A:$F,6,FALSE)</f>
        <v>1</v>
      </c>
      <c r="N1019">
        <f>VLOOKUP(D1019,Products!$A:$F,4,FALSE)</f>
        <v>974</v>
      </c>
      <c r="O1019" t="str">
        <f>VLOOKUP(C1019,Customers!$A:$F,5,FALSE)</f>
        <v>Retail</v>
      </c>
      <c r="P1019">
        <f>VLOOKUP(C1019,Customers!$A:$F,3,FALSE)</f>
        <v>28</v>
      </c>
      <c r="Q1019" t="str">
        <f>VLOOKUP(E1019,Sales_Reps!$A:$E,3,FALSE)</f>
        <v>South</v>
      </c>
      <c r="R1019" t="str">
        <f>VLOOKUP(E1019,Sales_Reps!$A:$E,2,FALSE)</f>
        <v>Anil Verma</v>
      </c>
      <c r="S1019">
        <f t="shared" si="15"/>
        <v>0.59416666666666662</v>
      </c>
    </row>
    <row r="1020" spans="1:19" x14ac:dyDescent="0.3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  <c r="L1020" t="str">
        <f>VLOOKUP(D1020,Products!$A:$F,3,FALSE)</f>
        <v>Home</v>
      </c>
      <c r="M1020" t="b">
        <f>VLOOKUP(D1020,Products!$A:$F,6,FALSE)</f>
        <v>1</v>
      </c>
      <c r="N1020">
        <f>VLOOKUP(D1020,Products!$A:$F,4,FALSE)</f>
        <v>1556</v>
      </c>
      <c r="O1020" t="str">
        <f>VLOOKUP(C1020,Customers!$A:$F,5,FALSE)</f>
        <v>SMB</v>
      </c>
      <c r="P1020">
        <f>VLOOKUP(C1020,Customers!$A:$F,3,FALSE)</f>
        <v>38</v>
      </c>
      <c r="Q1020" t="str">
        <f>VLOOKUP(E1020,Sales_Reps!$A:$E,3,FALSE)</f>
        <v>East</v>
      </c>
      <c r="R1020" t="str">
        <f>VLOOKUP(E1020,Sales_Reps!$A:$E,2,FALSE)</f>
        <v>Gaurav Desai</v>
      </c>
      <c r="S1020">
        <f t="shared" si="15"/>
        <v>0.52123076923076928</v>
      </c>
    </row>
    <row r="1021" spans="1:19" x14ac:dyDescent="0.3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  <c r="L1021" t="str">
        <f>VLOOKUP(D1021,Products!$A:$F,3,FALSE)</f>
        <v>Grocery</v>
      </c>
      <c r="M1021" t="b">
        <f>VLOOKUP(D1021,Products!$A:$F,6,FALSE)</f>
        <v>1</v>
      </c>
      <c r="N1021">
        <f>VLOOKUP(D1021,Products!$A:$F,4,FALSE)</f>
        <v>1435</v>
      </c>
      <c r="O1021" t="str">
        <f>VLOOKUP(C1021,Customers!$A:$F,5,FALSE)</f>
        <v>Retail</v>
      </c>
      <c r="P1021">
        <f>VLOOKUP(C1021,Customers!$A:$F,3,FALSE)</f>
        <v>44</v>
      </c>
      <c r="Q1021" t="str">
        <f>VLOOKUP(E1021,Sales_Reps!$A:$E,3,FALSE)</f>
        <v>South</v>
      </c>
      <c r="R1021" t="str">
        <f>VLOOKUP(E1021,Sales_Reps!$A:$E,2,FALSE)</f>
        <v>Ritu Menon</v>
      </c>
      <c r="S1021">
        <f t="shared" si="15"/>
        <v>0.48007246376811596</v>
      </c>
    </row>
    <row r="1022" spans="1:19" x14ac:dyDescent="0.3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  <c r="L1022" t="str">
        <f>VLOOKUP(D1022,Products!$A:$F,3,FALSE)</f>
        <v>Electronics</v>
      </c>
      <c r="M1022" t="b">
        <f>VLOOKUP(D1022,Products!$A:$F,6,FALSE)</f>
        <v>1</v>
      </c>
      <c r="N1022">
        <f>VLOOKUP(D1022,Products!$A:$F,4,FALSE)</f>
        <v>1665</v>
      </c>
      <c r="O1022" t="str">
        <f>VLOOKUP(C1022,Customers!$A:$F,5,FALSE)</f>
        <v>SMB</v>
      </c>
      <c r="P1022">
        <f>VLOOKUP(C1022,Customers!$A:$F,3,FALSE)</f>
        <v>64</v>
      </c>
      <c r="Q1022" t="str">
        <f>VLOOKUP(E1022,Sales_Reps!$A:$E,3,FALSE)</f>
        <v>North</v>
      </c>
      <c r="R1022" t="str">
        <f>VLOOKUP(E1022,Sales_Reps!$A:$E,2,FALSE)</f>
        <v>Rajesh Malhotra</v>
      </c>
      <c r="S1022">
        <f t="shared" si="15"/>
        <v>0.53361344537815125</v>
      </c>
    </row>
    <row r="1023" spans="1:19" x14ac:dyDescent="0.3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  <c r="L1023" t="str">
        <f>VLOOKUP(D1023,Products!$A:$F,3,FALSE)</f>
        <v>Grocery</v>
      </c>
      <c r="M1023" t="b">
        <f>VLOOKUP(D1023,Products!$A:$F,6,FALSE)</f>
        <v>1</v>
      </c>
      <c r="N1023">
        <f>VLOOKUP(D1023,Products!$A:$F,4,FALSE)</f>
        <v>2436</v>
      </c>
      <c r="O1023" t="str">
        <f>VLOOKUP(C1023,Customers!$A:$F,5,FALSE)</f>
        <v>Retail</v>
      </c>
      <c r="P1023">
        <f>VLOOKUP(C1023,Customers!$A:$F,3,FALSE)</f>
        <v>26</v>
      </c>
      <c r="Q1023" t="str">
        <f>VLOOKUP(E1023,Sales_Reps!$A:$E,3,FALSE)</f>
        <v>South</v>
      </c>
      <c r="R1023" t="str">
        <f>VLOOKUP(E1023,Sales_Reps!$A:$E,2,FALSE)</f>
        <v>Deepak Shah</v>
      </c>
      <c r="S1023">
        <f t="shared" si="15"/>
        <v>0.35555555555555557</v>
      </c>
    </row>
    <row r="1024" spans="1:19" x14ac:dyDescent="0.3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  <c r="L1024" t="str">
        <f>VLOOKUP(D1024,Products!$A:$F,3,FALSE)</f>
        <v>Electronics</v>
      </c>
      <c r="M1024" t="b">
        <f>VLOOKUP(D1024,Products!$A:$F,6,FALSE)</f>
        <v>1</v>
      </c>
      <c r="N1024">
        <f>VLOOKUP(D1024,Products!$A:$F,4,FALSE)</f>
        <v>861</v>
      </c>
      <c r="O1024" t="str">
        <f>VLOOKUP(C1024,Customers!$A:$F,5,FALSE)</f>
        <v>Retail</v>
      </c>
      <c r="P1024">
        <f>VLOOKUP(C1024,Customers!$A:$F,3,FALSE)</f>
        <v>61</v>
      </c>
      <c r="Q1024" t="str">
        <f>VLOOKUP(E1024,Sales_Reps!$A:$E,3,FALSE)</f>
        <v>East</v>
      </c>
      <c r="R1024" t="str">
        <f>VLOOKUP(E1024,Sales_Reps!$A:$E,2,FALSE)</f>
        <v>Prakash Shah</v>
      </c>
      <c r="S1024">
        <f t="shared" si="15"/>
        <v>0.39790209790209791</v>
      </c>
    </row>
    <row r="1025" spans="1:19" x14ac:dyDescent="0.3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  <c r="L1025" t="str">
        <f>VLOOKUP(D1025,Products!$A:$F,3,FALSE)</f>
        <v>Grocery</v>
      </c>
      <c r="M1025" t="b">
        <f>VLOOKUP(D1025,Products!$A:$F,6,FALSE)</f>
        <v>1</v>
      </c>
      <c r="N1025">
        <f>VLOOKUP(D1025,Products!$A:$F,4,FALSE)</f>
        <v>1412</v>
      </c>
      <c r="O1025" t="str">
        <f>VLOOKUP(C1025,Customers!$A:$F,5,FALSE)</f>
        <v>SMB</v>
      </c>
      <c r="P1025">
        <f>VLOOKUP(C1025,Customers!$A:$F,3,FALSE)</f>
        <v>29</v>
      </c>
      <c r="Q1025" t="str">
        <f>VLOOKUP(E1025,Sales_Reps!$A:$E,3,FALSE)</f>
        <v>South</v>
      </c>
      <c r="R1025" t="str">
        <f>VLOOKUP(E1025,Sales_Reps!$A:$E,2,FALSE)</f>
        <v>Anil Verma</v>
      </c>
      <c r="S1025">
        <f t="shared" si="15"/>
        <v>0.37797356828193834</v>
      </c>
    </row>
    <row r="1026" spans="1:19" x14ac:dyDescent="0.3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  <c r="L1026" t="str">
        <f>VLOOKUP(D1026,Products!$A:$F,3,FALSE)</f>
        <v>Sports</v>
      </c>
      <c r="M1026" t="b">
        <f>VLOOKUP(D1026,Products!$A:$F,6,FALSE)</f>
        <v>1</v>
      </c>
      <c r="N1026">
        <f>VLOOKUP(D1026,Products!$A:$F,4,FALSE)</f>
        <v>516</v>
      </c>
      <c r="O1026" t="str">
        <f>VLOOKUP(C1026,Customers!$A:$F,5,FALSE)</f>
        <v>Corporate</v>
      </c>
      <c r="P1026">
        <f>VLOOKUP(C1026,Customers!$A:$F,3,FALSE)</f>
        <v>52</v>
      </c>
      <c r="Q1026" t="str">
        <f>VLOOKUP(E1026,Sales_Reps!$A:$E,3,FALSE)</f>
        <v>South</v>
      </c>
      <c r="R1026" t="str">
        <f>VLOOKUP(E1026,Sales_Reps!$A:$E,2,FALSE)</f>
        <v>Sanjay Kapoor</v>
      </c>
      <c r="S1026">
        <f t="shared" si="15"/>
        <v>0.4891089108910891</v>
      </c>
    </row>
    <row r="1027" spans="1:19" x14ac:dyDescent="0.3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  <c r="L1027" t="str">
        <f>VLOOKUP(D1027,Products!$A:$F,3,FALSE)</f>
        <v>Sports</v>
      </c>
      <c r="M1027" t="b">
        <f>VLOOKUP(D1027,Products!$A:$F,6,FALSE)</f>
        <v>1</v>
      </c>
      <c r="N1027">
        <f>VLOOKUP(D1027,Products!$A:$F,4,FALSE)</f>
        <v>2028</v>
      </c>
      <c r="O1027" t="str">
        <f>VLOOKUP(C1027,Customers!$A:$F,5,FALSE)</f>
        <v>SMB</v>
      </c>
      <c r="P1027">
        <f>VLOOKUP(C1027,Customers!$A:$F,3,FALSE)</f>
        <v>40</v>
      </c>
      <c r="Q1027" t="str">
        <f>VLOOKUP(E1027,Sales_Reps!$A:$E,3,FALSE)</f>
        <v>South</v>
      </c>
      <c r="R1027" t="str">
        <f>VLOOKUP(E1027,Sales_Reps!$A:$E,2,FALSE)</f>
        <v>Ritu Menon</v>
      </c>
      <c r="S1027">
        <f t="shared" ref="S1027:S1090" si="16">IFERROR((G1027-N1027)/G1027,"")</f>
        <v>0.29090909090909089</v>
      </c>
    </row>
    <row r="1028" spans="1:19" x14ac:dyDescent="0.3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  <c r="L1028" t="str">
        <f>VLOOKUP(D1028,Products!$A:$F,3,FALSE)</f>
        <v>Electronics</v>
      </c>
      <c r="M1028" t="b">
        <f>VLOOKUP(D1028,Products!$A:$F,6,FALSE)</f>
        <v>1</v>
      </c>
      <c r="N1028">
        <f>VLOOKUP(D1028,Products!$A:$F,4,FALSE)</f>
        <v>1052</v>
      </c>
      <c r="O1028" t="str">
        <f>VLOOKUP(C1028,Customers!$A:$F,5,FALSE)</f>
        <v>Corporate</v>
      </c>
      <c r="P1028">
        <f>VLOOKUP(C1028,Customers!$A:$F,3,FALSE)</f>
        <v>44</v>
      </c>
      <c r="Q1028" t="str">
        <f>VLOOKUP(E1028,Sales_Reps!$A:$E,3,FALSE)</f>
        <v>East</v>
      </c>
      <c r="R1028" t="str">
        <f>VLOOKUP(E1028,Sales_Reps!$A:$E,2,FALSE)</f>
        <v>Prakash Shah</v>
      </c>
      <c r="S1028">
        <f t="shared" si="16"/>
        <v>0.5953846153846154</v>
      </c>
    </row>
    <row r="1029" spans="1:19" x14ac:dyDescent="0.3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  <c r="L1029" t="str">
        <f>VLOOKUP(D1029,Products!$A:$F,3,FALSE)</f>
        <v>Sports</v>
      </c>
      <c r="M1029" t="b">
        <f>VLOOKUP(D1029,Products!$A:$F,6,FALSE)</f>
        <v>0</v>
      </c>
      <c r="N1029">
        <f>VLOOKUP(D1029,Products!$A:$F,4,FALSE)</f>
        <v>302</v>
      </c>
      <c r="O1029" t="str">
        <f>VLOOKUP(C1029,Customers!$A:$F,5,FALSE)</f>
        <v>Retail</v>
      </c>
      <c r="P1029">
        <f>VLOOKUP(C1029,Customers!$A:$F,3,FALSE)</f>
        <v>57</v>
      </c>
      <c r="Q1029" t="str">
        <f>VLOOKUP(E1029,Sales_Reps!$A:$E,3,FALSE)</f>
        <v>West</v>
      </c>
      <c r="R1029" t="str">
        <f>VLOOKUP(E1029,Sales_Reps!$A:$E,2,FALSE)</f>
        <v>Rekha Chopra</v>
      </c>
      <c r="S1029">
        <f t="shared" si="16"/>
        <v>0.35744680851063831</v>
      </c>
    </row>
    <row r="1030" spans="1:19" x14ac:dyDescent="0.3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  <c r="L1030" t="str">
        <f>VLOOKUP(D1030,Products!$A:$F,3,FALSE)</f>
        <v>Home</v>
      </c>
      <c r="M1030" t="b">
        <f>VLOOKUP(D1030,Products!$A:$F,6,FALSE)</f>
        <v>1</v>
      </c>
      <c r="N1030">
        <f>VLOOKUP(D1030,Products!$A:$F,4,FALSE)</f>
        <v>329</v>
      </c>
      <c r="O1030" t="str">
        <f>VLOOKUP(C1030,Customers!$A:$F,5,FALSE)</f>
        <v>Retail</v>
      </c>
      <c r="P1030">
        <f>VLOOKUP(C1030,Customers!$A:$F,3,FALSE)</f>
        <v>32</v>
      </c>
      <c r="Q1030" t="str">
        <f>VLOOKUP(E1030,Sales_Reps!$A:$E,3,FALSE)</f>
        <v>South</v>
      </c>
      <c r="R1030" t="str">
        <f>VLOOKUP(E1030,Sales_Reps!$A:$E,2,FALSE)</f>
        <v>Sanjay Kapoor</v>
      </c>
      <c r="S1030">
        <f t="shared" si="16"/>
        <v>0.50151515151515147</v>
      </c>
    </row>
    <row r="1031" spans="1:19" x14ac:dyDescent="0.3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  <c r="L1031" t="str">
        <f>VLOOKUP(D1031,Products!$A:$F,3,FALSE)</f>
        <v>Electronics</v>
      </c>
      <c r="M1031" t="b">
        <f>VLOOKUP(D1031,Products!$A:$F,6,FALSE)</f>
        <v>1</v>
      </c>
      <c r="N1031">
        <f>VLOOKUP(D1031,Products!$A:$F,4,FALSE)</f>
        <v>517</v>
      </c>
      <c r="O1031" t="str">
        <f>VLOOKUP(C1031,Customers!$A:$F,5,FALSE)</f>
        <v>SMB</v>
      </c>
      <c r="P1031">
        <f>VLOOKUP(C1031,Customers!$A:$F,3,FALSE)</f>
        <v>49</v>
      </c>
      <c r="Q1031" t="str">
        <f>VLOOKUP(E1031,Sales_Reps!$A:$E,3,FALSE)</f>
        <v>East</v>
      </c>
      <c r="R1031" t="str">
        <f>VLOOKUP(E1031,Sales_Reps!$A:$E,2,FALSE)</f>
        <v>Vinod Kumar</v>
      </c>
      <c r="S1031">
        <f t="shared" si="16"/>
        <v>0.57622950819672136</v>
      </c>
    </row>
    <row r="1032" spans="1:19" x14ac:dyDescent="0.3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  <c r="L1032" t="str">
        <f>VLOOKUP(D1032,Products!$A:$F,3,FALSE)</f>
        <v>Home</v>
      </c>
      <c r="M1032" t="b">
        <f>VLOOKUP(D1032,Products!$A:$F,6,FALSE)</f>
        <v>1</v>
      </c>
      <c r="N1032">
        <f>VLOOKUP(D1032,Products!$A:$F,4,FALSE)</f>
        <v>1556</v>
      </c>
      <c r="O1032" t="str">
        <f>VLOOKUP(C1032,Customers!$A:$F,5,FALSE)</f>
        <v>SMB</v>
      </c>
      <c r="P1032">
        <f>VLOOKUP(C1032,Customers!$A:$F,3,FALSE)</f>
        <v>48</v>
      </c>
      <c r="Q1032" t="str">
        <f>VLOOKUP(E1032,Sales_Reps!$A:$E,3,FALSE)</f>
        <v>South</v>
      </c>
      <c r="R1032" t="str">
        <f>VLOOKUP(E1032,Sales_Reps!$A:$E,2,FALSE)</f>
        <v>Anil Verma</v>
      </c>
      <c r="S1032">
        <f t="shared" si="16"/>
        <v>0.52123076923076928</v>
      </c>
    </row>
    <row r="1033" spans="1:19" x14ac:dyDescent="0.3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  <c r="L1033" t="str">
        <f>VLOOKUP(D1033,Products!$A:$F,3,FALSE)</f>
        <v>Apparel</v>
      </c>
      <c r="M1033" t="b">
        <f>VLOOKUP(D1033,Products!$A:$F,6,FALSE)</f>
        <v>1</v>
      </c>
      <c r="N1033">
        <f>VLOOKUP(D1033,Products!$A:$F,4,FALSE)</f>
        <v>396</v>
      </c>
      <c r="O1033" t="str">
        <f>VLOOKUP(C1033,Customers!$A:$F,5,FALSE)</f>
        <v>Retail</v>
      </c>
      <c r="P1033">
        <f>VLOOKUP(C1033,Customers!$A:$F,3,FALSE)</f>
        <v>36</v>
      </c>
      <c r="Q1033" t="str">
        <f>VLOOKUP(E1033,Sales_Reps!$A:$E,3,FALSE)</f>
        <v>East</v>
      </c>
      <c r="R1033" t="str">
        <f>VLOOKUP(E1033,Sales_Reps!$A:$E,2,FALSE)</f>
        <v>Shalini Patel</v>
      </c>
      <c r="S1033">
        <f t="shared" si="16"/>
        <v>0.36129032258064514</v>
      </c>
    </row>
    <row r="1034" spans="1:19" x14ac:dyDescent="0.3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  <c r="L1034" t="str">
        <f>VLOOKUP(D1034,Products!$A:$F,3,FALSE)</f>
        <v>Grocery</v>
      </c>
      <c r="M1034" t="b">
        <f>VLOOKUP(D1034,Products!$A:$F,6,FALSE)</f>
        <v>1</v>
      </c>
      <c r="N1034">
        <f>VLOOKUP(D1034,Products!$A:$F,4,FALSE)</f>
        <v>2027</v>
      </c>
      <c r="O1034" t="str">
        <f>VLOOKUP(C1034,Customers!$A:$F,5,FALSE)</f>
        <v>Retail</v>
      </c>
      <c r="P1034">
        <f>VLOOKUP(C1034,Customers!$A:$F,3,FALSE)</f>
        <v>49</v>
      </c>
      <c r="Q1034" t="str">
        <f>VLOOKUP(E1034,Sales_Reps!$A:$E,3,FALSE)</f>
        <v>North</v>
      </c>
      <c r="R1034" t="str">
        <f>VLOOKUP(E1034,Sales_Reps!$A:$E,2,FALSE)</f>
        <v>Neha Desai</v>
      </c>
      <c r="S1034">
        <f t="shared" si="16"/>
        <v>0.50196560196560192</v>
      </c>
    </row>
    <row r="1035" spans="1:19" x14ac:dyDescent="0.3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  <c r="L1035" t="str">
        <f>VLOOKUP(D1035,Products!$A:$F,3,FALSE)</f>
        <v>Apparel</v>
      </c>
      <c r="M1035" t="b">
        <f>VLOOKUP(D1035,Products!$A:$F,6,FALSE)</f>
        <v>1</v>
      </c>
      <c r="N1035">
        <f>VLOOKUP(D1035,Products!$A:$F,4,FALSE)</f>
        <v>1886</v>
      </c>
      <c r="O1035" t="str">
        <f>VLOOKUP(C1035,Customers!$A:$F,5,FALSE)</f>
        <v>Retail</v>
      </c>
      <c r="P1035">
        <f>VLOOKUP(C1035,Customers!$A:$F,3,FALSE)</f>
        <v>27</v>
      </c>
      <c r="Q1035" t="str">
        <f>VLOOKUP(E1035,Sales_Reps!$A:$E,3,FALSE)</f>
        <v>North</v>
      </c>
      <c r="R1035" t="str">
        <f>VLOOKUP(E1035,Sales_Reps!$A:$E,2,FALSE)</f>
        <v>Suresh Menon</v>
      </c>
      <c r="S1035">
        <f t="shared" si="16"/>
        <v>0.4031645569620253</v>
      </c>
    </row>
    <row r="1036" spans="1:19" x14ac:dyDescent="0.3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  <c r="L1036" t="str">
        <f>VLOOKUP(D1036,Products!$A:$F,3,FALSE)</f>
        <v>Grocery</v>
      </c>
      <c r="M1036" t="b">
        <f>VLOOKUP(D1036,Products!$A:$F,6,FALSE)</f>
        <v>1</v>
      </c>
      <c r="N1036">
        <f>VLOOKUP(D1036,Products!$A:$F,4,FALSE)</f>
        <v>1010</v>
      </c>
      <c r="O1036" t="str">
        <f>VLOOKUP(C1036,Customers!$A:$F,5,FALSE)</f>
        <v>Retail</v>
      </c>
      <c r="P1036">
        <f>VLOOKUP(C1036,Customers!$A:$F,3,FALSE)</f>
        <v>36</v>
      </c>
      <c r="Q1036" t="str">
        <f>VLOOKUP(E1036,Sales_Reps!$A:$E,3,FALSE)</f>
        <v>East</v>
      </c>
      <c r="R1036" t="str">
        <f>VLOOKUP(E1036,Sales_Reps!$A:$E,2,FALSE)</f>
        <v>Nisha Menon</v>
      </c>
      <c r="S1036">
        <f t="shared" si="16"/>
        <v>0.54298642533936647</v>
      </c>
    </row>
    <row r="1037" spans="1:19" x14ac:dyDescent="0.3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  <c r="L1037" t="str">
        <f>VLOOKUP(D1037,Products!$A:$F,3,FALSE)</f>
        <v>Sports</v>
      </c>
      <c r="M1037" t="b">
        <f>VLOOKUP(D1037,Products!$A:$F,6,FALSE)</f>
        <v>0</v>
      </c>
      <c r="N1037">
        <f>VLOOKUP(D1037,Products!$A:$F,4,FALSE)</f>
        <v>302</v>
      </c>
      <c r="O1037" t="str">
        <f>VLOOKUP(C1037,Customers!$A:$F,5,FALSE)</f>
        <v>Retail</v>
      </c>
      <c r="P1037">
        <f>VLOOKUP(C1037,Customers!$A:$F,3,FALSE)</f>
        <v>61</v>
      </c>
      <c r="Q1037" t="str">
        <f>VLOOKUP(E1037,Sales_Reps!$A:$E,3,FALSE)</f>
        <v>West</v>
      </c>
      <c r="R1037" t="str">
        <f>VLOOKUP(E1037,Sales_Reps!$A:$E,2,FALSE)</f>
        <v>Ashok Reddy</v>
      </c>
      <c r="S1037">
        <f t="shared" si="16"/>
        <v>0.35744680851063831</v>
      </c>
    </row>
    <row r="1038" spans="1:19" x14ac:dyDescent="0.3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  <c r="L1038" t="str">
        <f>VLOOKUP(D1038,Products!$A:$F,3,FALSE)</f>
        <v>Home</v>
      </c>
      <c r="M1038" t="b">
        <f>VLOOKUP(D1038,Products!$A:$F,6,FALSE)</f>
        <v>1</v>
      </c>
      <c r="N1038">
        <f>VLOOKUP(D1038,Products!$A:$F,4,FALSE)</f>
        <v>288</v>
      </c>
      <c r="O1038" t="str">
        <f>VLOOKUP(C1038,Customers!$A:$F,5,FALSE)</f>
        <v>Retail</v>
      </c>
      <c r="P1038">
        <f>VLOOKUP(C1038,Customers!$A:$F,3,FALSE)</f>
        <v>38</v>
      </c>
      <c r="Q1038" t="str">
        <f>VLOOKUP(E1038,Sales_Reps!$A:$E,3,FALSE)</f>
        <v>East</v>
      </c>
      <c r="R1038" t="str">
        <f>VLOOKUP(E1038,Sales_Reps!$A:$E,2,FALSE)</f>
        <v>Meera Iyer</v>
      </c>
      <c r="S1038">
        <f t="shared" si="16"/>
        <v>0.22162162162162163</v>
      </c>
    </row>
    <row r="1039" spans="1:19" x14ac:dyDescent="0.3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  <c r="L1039" t="str">
        <f>VLOOKUP(D1039,Products!$A:$F,3,FALSE)</f>
        <v>Sports</v>
      </c>
      <c r="M1039" t="b">
        <f>VLOOKUP(D1039,Products!$A:$F,6,FALSE)</f>
        <v>1</v>
      </c>
      <c r="N1039">
        <f>VLOOKUP(D1039,Products!$A:$F,4,FALSE)</f>
        <v>1860</v>
      </c>
      <c r="O1039" t="str">
        <f>VLOOKUP(C1039,Customers!$A:$F,5,FALSE)</f>
        <v>Retail</v>
      </c>
      <c r="P1039">
        <f>VLOOKUP(C1039,Customers!$A:$F,3,FALSE)</f>
        <v>44</v>
      </c>
      <c r="Q1039" t="str">
        <f>VLOOKUP(E1039,Sales_Reps!$A:$E,3,FALSE)</f>
        <v>East</v>
      </c>
      <c r="R1039" t="str">
        <f>VLOOKUP(E1039,Sales_Reps!$A:$E,2,FALSE)</f>
        <v>Shalini Patel</v>
      </c>
      <c r="S1039">
        <f t="shared" si="16"/>
        <v>0.50793650793650791</v>
      </c>
    </row>
    <row r="1040" spans="1:19" x14ac:dyDescent="0.3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  <c r="L1040" t="str">
        <f>VLOOKUP(D1040,Products!$A:$F,3,FALSE)</f>
        <v>Sports</v>
      </c>
      <c r="M1040" t="b">
        <f>VLOOKUP(D1040,Products!$A:$F,6,FALSE)</f>
        <v>1</v>
      </c>
      <c r="N1040">
        <f>VLOOKUP(D1040,Products!$A:$F,4,FALSE)</f>
        <v>2827</v>
      </c>
      <c r="O1040" t="str">
        <f>VLOOKUP(C1040,Customers!$A:$F,5,FALSE)</f>
        <v>Retail</v>
      </c>
      <c r="P1040">
        <f>VLOOKUP(C1040,Customers!$A:$F,3,FALSE)</f>
        <v>59</v>
      </c>
      <c r="Q1040" t="str">
        <f>VLOOKUP(E1040,Sales_Reps!$A:$E,3,FALSE)</f>
        <v>South</v>
      </c>
      <c r="R1040" t="str">
        <f>VLOOKUP(E1040,Sales_Reps!$A:$E,2,FALSE)</f>
        <v>Manoj Patel</v>
      </c>
      <c r="S1040">
        <f t="shared" si="16"/>
        <v>0.5926512968299712</v>
      </c>
    </row>
    <row r="1041" spans="1:19" x14ac:dyDescent="0.3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  <c r="L1041" t="str">
        <f>VLOOKUP(D1041,Products!$A:$F,3,FALSE)</f>
        <v>Home</v>
      </c>
      <c r="M1041" t="b">
        <f>VLOOKUP(D1041,Products!$A:$F,6,FALSE)</f>
        <v>1</v>
      </c>
      <c r="N1041">
        <f>VLOOKUP(D1041,Products!$A:$F,4,FALSE)</f>
        <v>2135</v>
      </c>
      <c r="O1041" t="str">
        <f>VLOOKUP(C1041,Customers!$A:$F,5,FALSE)</f>
        <v>SMB</v>
      </c>
      <c r="P1041">
        <f>VLOOKUP(C1041,Customers!$A:$F,3,FALSE)</f>
        <v>48</v>
      </c>
      <c r="Q1041" t="str">
        <f>VLOOKUP(E1041,Sales_Reps!$A:$E,3,FALSE)</f>
        <v>East</v>
      </c>
      <c r="R1041" t="str">
        <f>VLOOKUP(E1041,Sales_Reps!$A:$E,2,FALSE)</f>
        <v>Nisha Menon</v>
      </c>
      <c r="S1041">
        <f t="shared" si="16"/>
        <v>0.42761394101876676</v>
      </c>
    </row>
    <row r="1042" spans="1:19" x14ac:dyDescent="0.3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  <c r="L1042" t="str">
        <f>VLOOKUP(D1042,Products!$A:$F,3,FALSE)</f>
        <v>Home</v>
      </c>
      <c r="M1042" t="b">
        <f>VLOOKUP(D1042,Products!$A:$F,6,FALSE)</f>
        <v>1</v>
      </c>
      <c r="N1042">
        <f>VLOOKUP(D1042,Products!$A:$F,4,FALSE)</f>
        <v>2459</v>
      </c>
      <c r="O1042" t="str">
        <f>VLOOKUP(C1042,Customers!$A:$F,5,FALSE)</f>
        <v>Retail</v>
      </c>
      <c r="P1042">
        <f>VLOOKUP(C1042,Customers!$A:$F,3,FALSE)</f>
        <v>37</v>
      </c>
      <c r="Q1042" t="str">
        <f>VLOOKUP(E1042,Sales_Reps!$A:$E,3,FALSE)</f>
        <v>West</v>
      </c>
      <c r="R1042" t="str">
        <f>VLOOKUP(E1042,Sales_Reps!$A:$E,2,FALSE)</f>
        <v>Ashok Reddy</v>
      </c>
      <c r="S1042">
        <f t="shared" si="16"/>
        <v>0.51594488188976373</v>
      </c>
    </row>
    <row r="1043" spans="1:19" x14ac:dyDescent="0.3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  <c r="L1043" t="str">
        <f>VLOOKUP(D1043,Products!$A:$F,3,FALSE)</f>
        <v>Sports</v>
      </c>
      <c r="M1043" t="b">
        <f>VLOOKUP(D1043,Products!$A:$F,6,FALSE)</f>
        <v>1</v>
      </c>
      <c r="N1043">
        <f>VLOOKUP(D1043,Products!$A:$F,4,FALSE)</f>
        <v>2265</v>
      </c>
      <c r="O1043" t="str">
        <f>VLOOKUP(C1043,Customers!$A:$F,5,FALSE)</f>
        <v>Retail</v>
      </c>
      <c r="P1043">
        <f>VLOOKUP(C1043,Customers!$A:$F,3,FALSE)</f>
        <v>32</v>
      </c>
      <c r="Q1043" t="str">
        <f>VLOOKUP(E1043,Sales_Reps!$A:$E,3,FALSE)</f>
        <v>North</v>
      </c>
      <c r="R1043" t="str">
        <f>VLOOKUP(E1043,Sales_Reps!$A:$E,2,FALSE)</f>
        <v>Rajesh Malhotra</v>
      </c>
      <c r="S1043">
        <f t="shared" si="16"/>
        <v>0.58133086876155271</v>
      </c>
    </row>
    <row r="1044" spans="1:19" x14ac:dyDescent="0.3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  <c r="L1044" t="str">
        <f>VLOOKUP(D1044,Products!$A:$F,3,FALSE)</f>
        <v>Apparel</v>
      </c>
      <c r="M1044" t="b">
        <f>VLOOKUP(D1044,Products!$A:$F,6,FALSE)</f>
        <v>1</v>
      </c>
      <c r="N1044">
        <f>VLOOKUP(D1044,Products!$A:$F,4,FALSE)</f>
        <v>1962</v>
      </c>
      <c r="O1044" t="str">
        <f>VLOOKUP(C1044,Customers!$A:$F,5,FALSE)</f>
        <v>Retail</v>
      </c>
      <c r="P1044">
        <f>VLOOKUP(C1044,Customers!$A:$F,3,FALSE)</f>
        <v>44</v>
      </c>
      <c r="Q1044" t="str">
        <f>VLOOKUP(E1044,Sales_Reps!$A:$E,3,FALSE)</f>
        <v>West</v>
      </c>
      <c r="R1044" t="str">
        <f>VLOOKUP(E1044,Sales_Reps!$A:$E,2,FALSE)</f>
        <v>Sonia Malhotra</v>
      </c>
      <c r="S1044">
        <f t="shared" si="16"/>
        <v>0.2786764705882353</v>
      </c>
    </row>
    <row r="1045" spans="1:19" x14ac:dyDescent="0.3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  <c r="L1045" t="str">
        <f>VLOOKUP(D1045,Products!$A:$F,3,FALSE)</f>
        <v>Electronics</v>
      </c>
      <c r="M1045" t="b">
        <f>VLOOKUP(D1045,Products!$A:$F,6,FALSE)</f>
        <v>1</v>
      </c>
      <c r="N1045">
        <f>VLOOKUP(D1045,Products!$A:$F,4,FALSE)</f>
        <v>517</v>
      </c>
      <c r="O1045" t="str">
        <f>VLOOKUP(C1045,Customers!$A:$F,5,FALSE)</f>
        <v>SMB</v>
      </c>
      <c r="P1045">
        <f>VLOOKUP(C1045,Customers!$A:$F,3,FALSE)</f>
        <v>44</v>
      </c>
      <c r="Q1045" t="str">
        <f>VLOOKUP(E1045,Sales_Reps!$A:$E,3,FALSE)</f>
        <v>South</v>
      </c>
      <c r="R1045" t="str">
        <f>VLOOKUP(E1045,Sales_Reps!$A:$E,2,FALSE)</f>
        <v>Divya Rao</v>
      </c>
      <c r="S1045">
        <f t="shared" si="16"/>
        <v>0.57622950819672136</v>
      </c>
    </row>
    <row r="1046" spans="1:19" x14ac:dyDescent="0.3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  <c r="L1046" t="str">
        <f>VLOOKUP(D1046,Products!$A:$F,3,FALSE)</f>
        <v>Beauty</v>
      </c>
      <c r="M1046" t="b">
        <f>VLOOKUP(D1046,Products!$A:$F,6,FALSE)</f>
        <v>1</v>
      </c>
      <c r="N1046">
        <f>VLOOKUP(D1046,Products!$A:$F,4,FALSE)</f>
        <v>2768</v>
      </c>
      <c r="O1046" t="str">
        <f>VLOOKUP(C1046,Customers!$A:$F,5,FALSE)</f>
        <v>Retail</v>
      </c>
      <c r="P1046">
        <f>VLOOKUP(C1046,Customers!$A:$F,3,FALSE)</f>
        <v>31</v>
      </c>
      <c r="Q1046" t="str">
        <f>VLOOKUP(E1046,Sales_Reps!$A:$E,3,FALSE)</f>
        <v>North</v>
      </c>
      <c r="R1046" t="str">
        <f>VLOOKUP(E1046,Sales_Reps!$A:$E,2,FALSE)</f>
        <v>Kavita Patel</v>
      </c>
      <c r="S1046">
        <f t="shared" si="16"/>
        <v>0.43278688524590164</v>
      </c>
    </row>
    <row r="1047" spans="1:19" x14ac:dyDescent="0.3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  <c r="L1047" t="str">
        <f>VLOOKUP(D1047,Products!$A:$F,3,FALSE)</f>
        <v>Grocery</v>
      </c>
      <c r="M1047" t="b">
        <f>VLOOKUP(D1047,Products!$A:$F,6,FALSE)</f>
        <v>1</v>
      </c>
      <c r="N1047">
        <f>VLOOKUP(D1047,Products!$A:$F,4,FALSE)</f>
        <v>1412</v>
      </c>
      <c r="O1047" t="str">
        <f>VLOOKUP(C1047,Customers!$A:$F,5,FALSE)</f>
        <v>Corporate</v>
      </c>
      <c r="P1047">
        <f>VLOOKUP(C1047,Customers!$A:$F,3,FALSE)</f>
        <v>62</v>
      </c>
      <c r="Q1047" t="str">
        <f>VLOOKUP(E1047,Sales_Reps!$A:$E,3,FALSE)</f>
        <v>East</v>
      </c>
      <c r="R1047" t="str">
        <f>VLOOKUP(E1047,Sales_Reps!$A:$E,2,FALSE)</f>
        <v>Gaurav Desai</v>
      </c>
      <c r="S1047">
        <f t="shared" si="16"/>
        <v>0.37797356828193834</v>
      </c>
    </row>
    <row r="1048" spans="1:19" x14ac:dyDescent="0.3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  <c r="L1048" t="str">
        <f>VLOOKUP(D1048,Products!$A:$F,3,FALSE)</f>
        <v>Grocery</v>
      </c>
      <c r="M1048" t="b">
        <f>VLOOKUP(D1048,Products!$A:$F,6,FALSE)</f>
        <v>1</v>
      </c>
      <c r="N1048">
        <f>VLOOKUP(D1048,Products!$A:$F,4,FALSE)</f>
        <v>434</v>
      </c>
      <c r="O1048" t="str">
        <f>VLOOKUP(C1048,Customers!$A:$F,5,FALSE)</f>
        <v>SMB</v>
      </c>
      <c r="P1048">
        <f>VLOOKUP(C1048,Customers!$A:$F,3,FALSE)</f>
        <v>53</v>
      </c>
      <c r="Q1048" t="str">
        <f>VLOOKUP(E1048,Sales_Reps!$A:$E,3,FALSE)</f>
        <v>North</v>
      </c>
      <c r="R1048" t="str">
        <f>VLOOKUP(E1048,Sales_Reps!$A:$E,2,FALSE)</f>
        <v>Amit Singh</v>
      </c>
      <c r="S1048">
        <f t="shared" si="16"/>
        <v>0.5525773195876289</v>
      </c>
    </row>
    <row r="1049" spans="1:19" x14ac:dyDescent="0.3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  <c r="L1049" t="str">
        <f>VLOOKUP(D1049,Products!$A:$F,3,FALSE)</f>
        <v>Grocery</v>
      </c>
      <c r="M1049" t="b">
        <f>VLOOKUP(D1049,Products!$A:$F,6,FALSE)</f>
        <v>1</v>
      </c>
      <c r="N1049">
        <f>VLOOKUP(D1049,Products!$A:$F,4,FALSE)</f>
        <v>1182</v>
      </c>
      <c r="O1049" t="str">
        <f>VLOOKUP(C1049,Customers!$A:$F,5,FALSE)</f>
        <v>Corporate</v>
      </c>
      <c r="P1049">
        <f>VLOOKUP(C1049,Customers!$A:$F,3,FALSE)</f>
        <v>27</v>
      </c>
      <c r="Q1049" t="str">
        <f>VLOOKUP(E1049,Sales_Reps!$A:$E,3,FALSE)</f>
        <v>South</v>
      </c>
      <c r="R1049" t="str">
        <f>VLOOKUP(E1049,Sales_Reps!$A:$E,2,FALSE)</f>
        <v>Pooja Nair</v>
      </c>
      <c r="S1049">
        <f t="shared" si="16"/>
        <v>0.50336134453781511</v>
      </c>
    </row>
    <row r="1050" spans="1:19" x14ac:dyDescent="0.3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  <c r="L1050" t="str">
        <f>VLOOKUP(D1050,Products!$A:$F,3,FALSE)</f>
        <v>Apparel</v>
      </c>
      <c r="M1050" t="b">
        <f>VLOOKUP(D1050,Products!$A:$F,6,FALSE)</f>
        <v>1</v>
      </c>
      <c r="N1050">
        <f>VLOOKUP(D1050,Products!$A:$F,4,FALSE)</f>
        <v>2509</v>
      </c>
      <c r="O1050" t="str">
        <f>VLOOKUP(C1050,Customers!$A:$F,5,FALSE)</f>
        <v>Corporate</v>
      </c>
      <c r="P1050">
        <f>VLOOKUP(C1050,Customers!$A:$F,3,FALSE)</f>
        <v>25</v>
      </c>
      <c r="Q1050" t="str">
        <f>VLOOKUP(E1050,Sales_Reps!$A:$E,3,FALSE)</f>
        <v>South</v>
      </c>
      <c r="R1050" t="str">
        <f>VLOOKUP(E1050,Sales_Reps!$A:$E,2,FALSE)</f>
        <v>Anjali Chopra</v>
      </c>
      <c r="S1050">
        <f t="shared" si="16"/>
        <v>0.3069060773480663</v>
      </c>
    </row>
    <row r="1051" spans="1:19" x14ac:dyDescent="0.3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  <c r="L1051" t="str">
        <f>VLOOKUP(D1051,Products!$A:$F,3,FALSE)</f>
        <v>Grocery</v>
      </c>
      <c r="M1051" t="b">
        <f>VLOOKUP(D1051,Products!$A:$F,6,FALSE)</f>
        <v>1</v>
      </c>
      <c r="N1051">
        <f>VLOOKUP(D1051,Products!$A:$F,4,FALSE)</f>
        <v>2027</v>
      </c>
      <c r="O1051" t="str">
        <f>VLOOKUP(C1051,Customers!$A:$F,5,FALSE)</f>
        <v>Retail</v>
      </c>
      <c r="P1051">
        <f>VLOOKUP(C1051,Customers!$A:$F,3,FALSE)</f>
        <v>59</v>
      </c>
      <c r="Q1051" t="str">
        <f>VLOOKUP(E1051,Sales_Reps!$A:$E,3,FALSE)</f>
        <v>West</v>
      </c>
      <c r="R1051" t="str">
        <f>VLOOKUP(E1051,Sales_Reps!$A:$E,2,FALSE)</f>
        <v>Ramesh Bhatt</v>
      </c>
      <c r="S1051">
        <f t="shared" si="16"/>
        <v>0.50196560196560192</v>
      </c>
    </row>
    <row r="1052" spans="1:19" x14ac:dyDescent="0.3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  <c r="L1052" t="str">
        <f>VLOOKUP(D1052,Products!$A:$F,3,FALSE)</f>
        <v>Beauty</v>
      </c>
      <c r="M1052" t="b">
        <f>VLOOKUP(D1052,Products!$A:$F,6,FALSE)</f>
        <v>1</v>
      </c>
      <c r="N1052">
        <f>VLOOKUP(D1052,Products!$A:$F,4,FALSE)</f>
        <v>2237</v>
      </c>
      <c r="O1052" t="str">
        <f>VLOOKUP(C1052,Customers!$A:$F,5,FALSE)</f>
        <v>Corporate</v>
      </c>
      <c r="P1052">
        <f>VLOOKUP(C1052,Customers!$A:$F,3,FALSE)</f>
        <v>43</v>
      </c>
      <c r="Q1052" t="str">
        <f>VLOOKUP(E1052,Sales_Reps!$A:$E,3,FALSE)</f>
        <v>West</v>
      </c>
      <c r="R1052" t="str">
        <f>VLOOKUP(E1052,Sales_Reps!$A:$E,2,FALSE)</f>
        <v>Sonia Malhotra</v>
      </c>
      <c r="S1052">
        <f t="shared" si="16"/>
        <v>0.56137254901960787</v>
      </c>
    </row>
    <row r="1053" spans="1:19" x14ac:dyDescent="0.3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  <c r="L1053" t="str">
        <f>VLOOKUP(D1053,Products!$A:$F,3,FALSE)</f>
        <v>Beauty</v>
      </c>
      <c r="M1053" t="b">
        <f>VLOOKUP(D1053,Products!$A:$F,6,FALSE)</f>
        <v>1</v>
      </c>
      <c r="N1053">
        <f>VLOOKUP(D1053,Products!$A:$F,4,FALSE)</f>
        <v>1626</v>
      </c>
      <c r="O1053" t="str">
        <f>VLOOKUP(C1053,Customers!$A:$F,5,FALSE)</f>
        <v>Corporate</v>
      </c>
      <c r="P1053">
        <f>VLOOKUP(C1053,Customers!$A:$F,3,FALSE)</f>
        <v>62</v>
      </c>
      <c r="Q1053" t="str">
        <f>VLOOKUP(E1053,Sales_Reps!$A:$E,3,FALSE)</f>
        <v>East</v>
      </c>
      <c r="R1053" t="str">
        <f>VLOOKUP(E1053,Sales_Reps!$A:$E,2,FALSE)</f>
        <v>Naveen Singh</v>
      </c>
      <c r="S1053">
        <f t="shared" si="16"/>
        <v>0.46158940397350995</v>
      </c>
    </row>
    <row r="1054" spans="1:19" x14ac:dyDescent="0.3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  <c r="L1054" t="str">
        <f>VLOOKUP(D1054,Products!$A:$F,3,FALSE)</f>
        <v>Beauty</v>
      </c>
      <c r="M1054" t="b">
        <f>VLOOKUP(D1054,Products!$A:$F,6,FALSE)</f>
        <v>1</v>
      </c>
      <c r="N1054">
        <f>VLOOKUP(D1054,Products!$A:$F,4,FALSE)</f>
        <v>675</v>
      </c>
      <c r="O1054" t="str">
        <f>VLOOKUP(C1054,Customers!$A:$F,5,FALSE)</f>
        <v>Corporate</v>
      </c>
      <c r="P1054">
        <f>VLOOKUP(C1054,Customers!$A:$F,3,FALSE)</f>
        <v>42</v>
      </c>
      <c r="Q1054" t="str">
        <f>VLOOKUP(E1054,Sales_Reps!$A:$E,3,FALSE)</f>
        <v>North</v>
      </c>
      <c r="R1054" t="str">
        <f>VLOOKUP(E1054,Sales_Reps!$A:$E,2,FALSE)</f>
        <v>Sunita Malhotra</v>
      </c>
      <c r="S1054">
        <f t="shared" si="16"/>
        <v>0.296875</v>
      </c>
    </row>
    <row r="1055" spans="1:19" x14ac:dyDescent="0.3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  <c r="L1055" t="str">
        <f>VLOOKUP(D1055,Products!$A:$F,3,FALSE)</f>
        <v>Home</v>
      </c>
      <c r="M1055" t="b">
        <f>VLOOKUP(D1055,Products!$A:$F,6,FALSE)</f>
        <v>1</v>
      </c>
      <c r="N1055">
        <f>VLOOKUP(D1055,Products!$A:$F,4,FALSE)</f>
        <v>2459</v>
      </c>
      <c r="O1055" t="str">
        <f>VLOOKUP(C1055,Customers!$A:$F,5,FALSE)</f>
        <v>Retail</v>
      </c>
      <c r="P1055">
        <f>VLOOKUP(C1055,Customers!$A:$F,3,FALSE)</f>
        <v>61</v>
      </c>
      <c r="Q1055" t="str">
        <f>VLOOKUP(E1055,Sales_Reps!$A:$E,3,FALSE)</f>
        <v>South</v>
      </c>
      <c r="R1055" t="str">
        <f>VLOOKUP(E1055,Sales_Reps!$A:$E,2,FALSE)</f>
        <v>Deepak Shah</v>
      </c>
      <c r="S1055">
        <f t="shared" si="16"/>
        <v>0.51594488188976373</v>
      </c>
    </row>
    <row r="1056" spans="1:19" x14ac:dyDescent="0.3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  <c r="L1056" t="str">
        <f>VLOOKUP(D1056,Products!$A:$F,3,FALSE)</f>
        <v>Beauty</v>
      </c>
      <c r="M1056" t="b">
        <f>VLOOKUP(D1056,Products!$A:$F,6,FALSE)</f>
        <v>1</v>
      </c>
      <c r="N1056">
        <f>VLOOKUP(D1056,Products!$A:$F,4,FALSE)</f>
        <v>2617</v>
      </c>
      <c r="O1056" t="str">
        <f>VLOOKUP(C1056,Customers!$A:$F,5,FALSE)</f>
        <v>Corporate</v>
      </c>
      <c r="P1056">
        <f>VLOOKUP(C1056,Customers!$A:$F,3,FALSE)</f>
        <v>34</v>
      </c>
      <c r="Q1056" t="str">
        <f>VLOOKUP(E1056,Sales_Reps!$A:$E,3,FALSE)</f>
        <v>South</v>
      </c>
      <c r="R1056" t="str">
        <f>VLOOKUP(E1056,Sales_Reps!$A:$E,2,FALSE)</f>
        <v>Divya Rao</v>
      </c>
      <c r="S1056">
        <f t="shared" si="16"/>
        <v>0.56957236842105263</v>
      </c>
    </row>
    <row r="1057" spans="1:19" x14ac:dyDescent="0.3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  <c r="L1057" t="str">
        <f>VLOOKUP(D1057,Products!$A:$F,3,FALSE)</f>
        <v>Beauty</v>
      </c>
      <c r="M1057" t="b">
        <f>VLOOKUP(D1057,Products!$A:$F,6,FALSE)</f>
        <v>0</v>
      </c>
      <c r="N1057">
        <f>VLOOKUP(D1057,Products!$A:$F,4,FALSE)</f>
        <v>647</v>
      </c>
      <c r="O1057" t="str">
        <f>VLOOKUP(C1057,Customers!$A:$F,5,FALSE)</f>
        <v>Retail</v>
      </c>
      <c r="P1057">
        <f>VLOOKUP(C1057,Customers!$A:$F,3,FALSE)</f>
        <v>38</v>
      </c>
      <c r="Q1057" t="str">
        <f>VLOOKUP(E1057,Sales_Reps!$A:$E,3,FALSE)</f>
        <v>South</v>
      </c>
      <c r="R1057" t="str">
        <f>VLOOKUP(E1057,Sales_Reps!$A:$E,2,FALSE)</f>
        <v>Divya Rao</v>
      </c>
      <c r="S1057">
        <f t="shared" si="16"/>
        <v>0.57987012987012987</v>
      </c>
    </row>
    <row r="1058" spans="1:19" x14ac:dyDescent="0.3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  <c r="L1058" t="str">
        <f>VLOOKUP(D1058,Products!$A:$F,3,FALSE)</f>
        <v>Sports</v>
      </c>
      <c r="M1058" t="b">
        <f>VLOOKUP(D1058,Products!$A:$F,6,FALSE)</f>
        <v>1</v>
      </c>
      <c r="N1058">
        <f>VLOOKUP(D1058,Products!$A:$F,4,FALSE)</f>
        <v>516</v>
      </c>
      <c r="O1058" t="str">
        <f>VLOOKUP(C1058,Customers!$A:$F,5,FALSE)</f>
        <v>Retail</v>
      </c>
      <c r="P1058">
        <f>VLOOKUP(C1058,Customers!$A:$F,3,FALSE)</f>
        <v>27</v>
      </c>
      <c r="Q1058" t="str">
        <f>VLOOKUP(E1058,Sales_Reps!$A:$E,3,FALSE)</f>
        <v>West</v>
      </c>
      <c r="R1058" t="str">
        <f>VLOOKUP(E1058,Sales_Reps!$A:$E,2,FALSE)</f>
        <v>Rekha Chopra</v>
      </c>
      <c r="S1058">
        <f t="shared" si="16"/>
        <v>0.4891089108910891</v>
      </c>
    </row>
    <row r="1059" spans="1:19" x14ac:dyDescent="0.3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  <c r="L1059" t="str">
        <f>VLOOKUP(D1059,Products!$A:$F,3,FALSE)</f>
        <v>Beauty</v>
      </c>
      <c r="M1059" t="b">
        <f>VLOOKUP(D1059,Products!$A:$F,6,FALSE)</f>
        <v>1</v>
      </c>
      <c r="N1059">
        <f>VLOOKUP(D1059,Products!$A:$F,4,FALSE)</f>
        <v>675</v>
      </c>
      <c r="O1059" t="str">
        <f>VLOOKUP(C1059,Customers!$A:$F,5,FALSE)</f>
        <v>SMB</v>
      </c>
      <c r="P1059">
        <f>VLOOKUP(C1059,Customers!$A:$F,3,FALSE)</f>
        <v>48</v>
      </c>
      <c r="Q1059" t="str">
        <f>VLOOKUP(E1059,Sales_Reps!$A:$E,3,FALSE)</f>
        <v>West</v>
      </c>
      <c r="R1059" t="str">
        <f>VLOOKUP(E1059,Sales_Reps!$A:$E,2,FALSE)</f>
        <v>Sonia Malhotra</v>
      </c>
      <c r="S1059">
        <f t="shared" si="16"/>
        <v>0.296875</v>
      </c>
    </row>
    <row r="1060" spans="1:19" x14ac:dyDescent="0.3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  <c r="L1060" t="str">
        <f>VLOOKUP(D1060,Products!$A:$F,3,FALSE)</f>
        <v>Beauty</v>
      </c>
      <c r="M1060" t="b">
        <f>VLOOKUP(D1060,Products!$A:$F,6,FALSE)</f>
        <v>0</v>
      </c>
      <c r="N1060">
        <f>VLOOKUP(D1060,Products!$A:$F,4,FALSE)</f>
        <v>647</v>
      </c>
      <c r="O1060" t="str">
        <f>VLOOKUP(C1060,Customers!$A:$F,5,FALSE)</f>
        <v>SMB</v>
      </c>
      <c r="P1060">
        <f>VLOOKUP(C1060,Customers!$A:$F,3,FALSE)</f>
        <v>64</v>
      </c>
      <c r="Q1060" t="str">
        <f>VLOOKUP(E1060,Sales_Reps!$A:$E,3,FALSE)</f>
        <v>South</v>
      </c>
      <c r="R1060" t="str">
        <f>VLOOKUP(E1060,Sales_Reps!$A:$E,2,FALSE)</f>
        <v>Divya Rao</v>
      </c>
      <c r="S1060">
        <f t="shared" si="16"/>
        <v>0.57987012987012987</v>
      </c>
    </row>
    <row r="1061" spans="1:19" x14ac:dyDescent="0.3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  <c r="L1061" t="str">
        <f>VLOOKUP(D1061,Products!$A:$F,3,FALSE)</f>
        <v>Beauty</v>
      </c>
      <c r="M1061" t="b">
        <f>VLOOKUP(D1061,Products!$A:$F,6,FALSE)</f>
        <v>1</v>
      </c>
      <c r="N1061">
        <f>VLOOKUP(D1061,Products!$A:$F,4,FALSE)</f>
        <v>1728</v>
      </c>
      <c r="O1061" t="str">
        <f>VLOOKUP(C1061,Customers!$A:$F,5,FALSE)</f>
        <v>SMB</v>
      </c>
      <c r="P1061">
        <f>VLOOKUP(C1061,Customers!$A:$F,3,FALSE)</f>
        <v>45</v>
      </c>
      <c r="Q1061" t="str">
        <f>VLOOKUP(E1061,Sales_Reps!$A:$E,3,FALSE)</f>
        <v>East</v>
      </c>
      <c r="R1061" t="str">
        <f>VLOOKUP(E1061,Sales_Reps!$A:$E,2,FALSE)</f>
        <v>Prakash Shah</v>
      </c>
      <c r="S1061">
        <f t="shared" si="16"/>
        <v>0.48417910447761192</v>
      </c>
    </row>
    <row r="1062" spans="1:19" x14ac:dyDescent="0.3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  <c r="L1062" t="str">
        <f>VLOOKUP(D1062,Products!$A:$F,3,FALSE)</f>
        <v>Sports</v>
      </c>
      <c r="M1062" t="b">
        <f>VLOOKUP(D1062,Products!$A:$F,6,FALSE)</f>
        <v>1</v>
      </c>
      <c r="N1062">
        <f>VLOOKUP(D1062,Products!$A:$F,4,FALSE)</f>
        <v>2467</v>
      </c>
      <c r="O1062" t="str">
        <f>VLOOKUP(C1062,Customers!$A:$F,5,FALSE)</f>
        <v>Retail</v>
      </c>
      <c r="P1062">
        <f>VLOOKUP(C1062,Customers!$A:$F,3,FALSE)</f>
        <v>31</v>
      </c>
      <c r="Q1062" t="str">
        <f>VLOOKUP(E1062,Sales_Reps!$A:$E,3,FALSE)</f>
        <v>East</v>
      </c>
      <c r="R1062" t="str">
        <f>VLOOKUP(E1062,Sales_Reps!$A:$E,2,FALSE)</f>
        <v>Gaurav Desai</v>
      </c>
      <c r="S1062">
        <f t="shared" si="16"/>
        <v>0.28492753623188405</v>
      </c>
    </row>
    <row r="1063" spans="1:19" x14ac:dyDescent="0.3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  <c r="L1063" t="str">
        <f>VLOOKUP(D1063,Products!$A:$F,3,FALSE)</f>
        <v>Sports</v>
      </c>
      <c r="M1063" t="b">
        <f>VLOOKUP(D1063,Products!$A:$F,6,FALSE)</f>
        <v>1</v>
      </c>
      <c r="N1063">
        <f>VLOOKUP(D1063,Products!$A:$F,4,FALSE)</f>
        <v>705</v>
      </c>
      <c r="O1063" t="str">
        <f>VLOOKUP(C1063,Customers!$A:$F,5,FALSE)</f>
        <v>SMB</v>
      </c>
      <c r="P1063">
        <f>VLOOKUP(C1063,Customers!$A:$F,3,FALSE)</f>
        <v>43</v>
      </c>
      <c r="Q1063" t="str">
        <f>VLOOKUP(E1063,Sales_Reps!$A:$E,3,FALSE)</f>
        <v>East</v>
      </c>
      <c r="R1063" t="str">
        <f>VLOOKUP(E1063,Sales_Reps!$A:$E,2,FALSE)</f>
        <v>Prakash Shah</v>
      </c>
      <c r="S1063">
        <f t="shared" si="16"/>
        <v>0.265625</v>
      </c>
    </row>
    <row r="1064" spans="1:19" x14ac:dyDescent="0.3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  <c r="L1064" t="str">
        <f>VLOOKUP(D1064,Products!$A:$F,3,FALSE)</f>
        <v>Apparel</v>
      </c>
      <c r="M1064" t="b">
        <f>VLOOKUP(D1064,Products!$A:$F,6,FALSE)</f>
        <v>1</v>
      </c>
      <c r="N1064">
        <f>VLOOKUP(D1064,Products!$A:$F,4,FALSE)</f>
        <v>2611</v>
      </c>
      <c r="O1064" t="str">
        <f>VLOOKUP(C1064,Customers!$A:$F,5,FALSE)</f>
        <v>Retail</v>
      </c>
      <c r="P1064">
        <f>VLOOKUP(C1064,Customers!$A:$F,3,FALSE)</f>
        <v>55</v>
      </c>
      <c r="Q1064" t="str">
        <f>VLOOKUP(E1064,Sales_Reps!$A:$E,3,FALSE)</f>
        <v>South</v>
      </c>
      <c r="R1064" t="str">
        <f>VLOOKUP(E1064,Sales_Reps!$A:$E,2,FALSE)</f>
        <v>Ritu Menon</v>
      </c>
      <c r="S1064">
        <f t="shared" si="16"/>
        <v>0.28269230769230769</v>
      </c>
    </row>
    <row r="1065" spans="1:19" x14ac:dyDescent="0.3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  <c r="L1065" t="str">
        <f>VLOOKUP(D1065,Products!$A:$F,3,FALSE)</f>
        <v>Grocery</v>
      </c>
      <c r="M1065" t="b">
        <f>VLOOKUP(D1065,Products!$A:$F,6,FALSE)</f>
        <v>1</v>
      </c>
      <c r="N1065">
        <f>VLOOKUP(D1065,Products!$A:$F,4,FALSE)</f>
        <v>1010</v>
      </c>
      <c r="O1065" t="str">
        <f>VLOOKUP(C1065,Customers!$A:$F,5,FALSE)</f>
        <v>Retail</v>
      </c>
      <c r="P1065">
        <f>VLOOKUP(C1065,Customers!$A:$F,3,FALSE)</f>
        <v>27</v>
      </c>
      <c r="Q1065" t="str">
        <f>VLOOKUP(E1065,Sales_Reps!$A:$E,3,FALSE)</f>
        <v>East</v>
      </c>
      <c r="R1065" t="str">
        <f>VLOOKUP(E1065,Sales_Reps!$A:$E,2,FALSE)</f>
        <v>Naveen Singh</v>
      </c>
      <c r="S1065">
        <f t="shared" si="16"/>
        <v>0.54298642533936647</v>
      </c>
    </row>
    <row r="1066" spans="1:19" x14ac:dyDescent="0.3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  <c r="L1066" t="str">
        <f>VLOOKUP(D1066,Products!$A:$F,3,FALSE)</f>
        <v>Home</v>
      </c>
      <c r="M1066" t="b">
        <f>VLOOKUP(D1066,Products!$A:$F,6,FALSE)</f>
        <v>1</v>
      </c>
      <c r="N1066">
        <f>VLOOKUP(D1066,Products!$A:$F,4,FALSE)</f>
        <v>2135</v>
      </c>
      <c r="O1066" t="str">
        <f>VLOOKUP(C1066,Customers!$A:$F,5,FALSE)</f>
        <v>Corporate</v>
      </c>
      <c r="P1066">
        <f>VLOOKUP(C1066,Customers!$A:$F,3,FALSE)</f>
        <v>46</v>
      </c>
      <c r="Q1066" t="str">
        <f>VLOOKUP(E1066,Sales_Reps!$A:$E,3,FALSE)</f>
        <v>North</v>
      </c>
      <c r="R1066" t="str">
        <f>VLOOKUP(E1066,Sales_Reps!$A:$E,2,FALSE)</f>
        <v>Vikram Patel</v>
      </c>
      <c r="S1066">
        <f t="shared" si="16"/>
        <v>0.42761394101876676</v>
      </c>
    </row>
    <row r="1067" spans="1:19" x14ac:dyDescent="0.3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  <c r="L1067" t="str">
        <f>VLOOKUP(D1067,Products!$A:$F,3,FALSE)</f>
        <v>Sports</v>
      </c>
      <c r="M1067" t="b">
        <f>VLOOKUP(D1067,Products!$A:$F,6,FALSE)</f>
        <v>1</v>
      </c>
      <c r="N1067">
        <f>VLOOKUP(D1067,Products!$A:$F,4,FALSE)</f>
        <v>2265</v>
      </c>
      <c r="O1067" t="str">
        <f>VLOOKUP(C1067,Customers!$A:$F,5,FALSE)</f>
        <v>Corporate</v>
      </c>
      <c r="P1067">
        <f>VLOOKUP(C1067,Customers!$A:$F,3,FALSE)</f>
        <v>48</v>
      </c>
      <c r="Q1067" t="str">
        <f>VLOOKUP(E1067,Sales_Reps!$A:$E,3,FALSE)</f>
        <v>South</v>
      </c>
      <c r="R1067" t="str">
        <f>VLOOKUP(E1067,Sales_Reps!$A:$E,2,FALSE)</f>
        <v>Divya Rao</v>
      </c>
      <c r="S1067">
        <f t="shared" si="16"/>
        <v>0.58133086876155271</v>
      </c>
    </row>
    <row r="1068" spans="1:19" x14ac:dyDescent="0.3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  <c r="L1068" t="str">
        <f>VLOOKUP(D1068,Products!$A:$F,3,FALSE)</f>
        <v>Grocery</v>
      </c>
      <c r="M1068" t="b">
        <f>VLOOKUP(D1068,Products!$A:$F,6,FALSE)</f>
        <v>1</v>
      </c>
      <c r="N1068">
        <f>VLOOKUP(D1068,Products!$A:$F,4,FALSE)</f>
        <v>2436</v>
      </c>
      <c r="O1068" t="str">
        <f>VLOOKUP(C1068,Customers!$A:$F,5,FALSE)</f>
        <v>Corporate</v>
      </c>
      <c r="P1068">
        <f>VLOOKUP(C1068,Customers!$A:$F,3,FALSE)</f>
        <v>62</v>
      </c>
      <c r="Q1068" t="str">
        <f>VLOOKUP(E1068,Sales_Reps!$A:$E,3,FALSE)</f>
        <v>East</v>
      </c>
      <c r="R1068" t="str">
        <f>VLOOKUP(E1068,Sales_Reps!$A:$E,2,FALSE)</f>
        <v>Shalini Patel</v>
      </c>
      <c r="S1068">
        <f t="shared" si="16"/>
        <v>0.35555555555555557</v>
      </c>
    </row>
    <row r="1069" spans="1:19" x14ac:dyDescent="0.3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  <c r="L1069" t="str">
        <f>VLOOKUP(D1069,Products!$A:$F,3,FALSE)</f>
        <v>Home</v>
      </c>
      <c r="M1069" t="b">
        <f>VLOOKUP(D1069,Products!$A:$F,6,FALSE)</f>
        <v>1</v>
      </c>
      <c r="N1069">
        <f>VLOOKUP(D1069,Products!$A:$F,4,FALSE)</f>
        <v>1850</v>
      </c>
      <c r="O1069" t="str">
        <f>VLOOKUP(C1069,Customers!$A:$F,5,FALSE)</f>
        <v>SMB</v>
      </c>
      <c r="P1069">
        <f>VLOOKUP(C1069,Customers!$A:$F,3,FALSE)</f>
        <v>55</v>
      </c>
      <c r="Q1069" t="str">
        <f>VLOOKUP(E1069,Sales_Reps!$A:$E,3,FALSE)</f>
        <v>South</v>
      </c>
      <c r="R1069" t="str">
        <f>VLOOKUP(E1069,Sales_Reps!$A:$E,2,FALSE)</f>
        <v>Anjali Chopra</v>
      </c>
      <c r="S1069">
        <f t="shared" si="16"/>
        <v>0.59869848156182215</v>
      </c>
    </row>
    <row r="1070" spans="1:19" x14ac:dyDescent="0.3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  <c r="L1070" t="str">
        <f>VLOOKUP(D1070,Products!$A:$F,3,FALSE)</f>
        <v>Electronics</v>
      </c>
      <c r="M1070" t="b">
        <f>VLOOKUP(D1070,Products!$A:$F,6,FALSE)</f>
        <v>1</v>
      </c>
      <c r="N1070">
        <f>VLOOKUP(D1070,Products!$A:$F,4,FALSE)</f>
        <v>1149</v>
      </c>
      <c r="O1070" t="str">
        <f>VLOOKUP(C1070,Customers!$A:$F,5,FALSE)</f>
        <v>Retail</v>
      </c>
      <c r="P1070">
        <f>VLOOKUP(C1070,Customers!$A:$F,3,FALSE)</f>
        <v>61</v>
      </c>
      <c r="Q1070" t="str">
        <f>VLOOKUP(E1070,Sales_Reps!$A:$E,3,FALSE)</f>
        <v>West</v>
      </c>
      <c r="R1070" t="str">
        <f>VLOOKUP(E1070,Sales_Reps!$A:$E,2,FALSE)</f>
        <v>Ashok Reddy</v>
      </c>
      <c r="S1070">
        <f t="shared" si="16"/>
        <v>0.56477272727272732</v>
      </c>
    </row>
    <row r="1071" spans="1:19" x14ac:dyDescent="0.3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  <c r="L1071" t="str">
        <f>VLOOKUP(D1071,Products!$A:$F,3,FALSE)</f>
        <v>Apparel</v>
      </c>
      <c r="M1071" t="b">
        <f>VLOOKUP(D1071,Products!$A:$F,6,FALSE)</f>
        <v>1</v>
      </c>
      <c r="N1071">
        <f>VLOOKUP(D1071,Products!$A:$F,4,FALSE)</f>
        <v>2509</v>
      </c>
      <c r="O1071" t="str">
        <f>VLOOKUP(C1071,Customers!$A:$F,5,FALSE)</f>
        <v>Retail</v>
      </c>
      <c r="P1071">
        <f>VLOOKUP(C1071,Customers!$A:$F,3,FALSE)</f>
        <v>53</v>
      </c>
      <c r="Q1071" t="str">
        <f>VLOOKUP(E1071,Sales_Reps!$A:$E,3,FALSE)</f>
        <v>South</v>
      </c>
      <c r="R1071" t="str">
        <f>VLOOKUP(E1071,Sales_Reps!$A:$E,2,FALSE)</f>
        <v>Divya Rao</v>
      </c>
      <c r="S1071">
        <f t="shared" si="16"/>
        <v>0.3069060773480663</v>
      </c>
    </row>
    <row r="1072" spans="1:19" x14ac:dyDescent="0.3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  <c r="L1072" t="str">
        <f>VLOOKUP(D1072,Products!$A:$F,3,FALSE)</f>
        <v>Sports</v>
      </c>
      <c r="M1072" t="b">
        <f>VLOOKUP(D1072,Products!$A:$F,6,FALSE)</f>
        <v>0</v>
      </c>
      <c r="N1072">
        <f>VLOOKUP(D1072,Products!$A:$F,4,FALSE)</f>
        <v>302</v>
      </c>
      <c r="O1072" t="str">
        <f>VLOOKUP(C1072,Customers!$A:$F,5,FALSE)</f>
        <v>Retail</v>
      </c>
      <c r="P1072">
        <f>VLOOKUP(C1072,Customers!$A:$F,3,FALSE)</f>
        <v>63</v>
      </c>
      <c r="Q1072" t="str">
        <f>VLOOKUP(E1072,Sales_Reps!$A:$E,3,FALSE)</f>
        <v>East</v>
      </c>
      <c r="R1072" t="str">
        <f>VLOOKUP(E1072,Sales_Reps!$A:$E,2,FALSE)</f>
        <v>Shalini Patel</v>
      </c>
      <c r="S1072">
        <f t="shared" si="16"/>
        <v>0.35744680851063831</v>
      </c>
    </row>
    <row r="1073" spans="1:19" x14ac:dyDescent="0.3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  <c r="L1073" t="str">
        <f>VLOOKUP(D1073,Products!$A:$F,3,FALSE)</f>
        <v>Electronics</v>
      </c>
      <c r="M1073" t="b">
        <f>VLOOKUP(D1073,Products!$A:$F,6,FALSE)</f>
        <v>1</v>
      </c>
      <c r="N1073">
        <f>VLOOKUP(D1073,Products!$A:$F,4,FALSE)</f>
        <v>2405</v>
      </c>
      <c r="O1073" t="str">
        <f>VLOOKUP(C1073,Customers!$A:$F,5,FALSE)</f>
        <v>Retail</v>
      </c>
      <c r="P1073">
        <f>VLOOKUP(C1073,Customers!$A:$F,3,FALSE)</f>
        <v>54</v>
      </c>
      <c r="Q1073" t="str">
        <f>VLOOKUP(E1073,Sales_Reps!$A:$E,3,FALSE)</f>
        <v>South</v>
      </c>
      <c r="R1073" t="str">
        <f>VLOOKUP(E1073,Sales_Reps!$A:$E,2,FALSE)</f>
        <v>Manoj Patel</v>
      </c>
      <c r="S1073">
        <f t="shared" si="16"/>
        <v>0.54878048780487809</v>
      </c>
    </row>
    <row r="1074" spans="1:19" x14ac:dyDescent="0.3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  <c r="L1074" t="str">
        <f>VLOOKUP(D1074,Products!$A:$F,3,FALSE)</f>
        <v>Beauty</v>
      </c>
      <c r="M1074" t="b">
        <f>VLOOKUP(D1074,Products!$A:$F,6,FALSE)</f>
        <v>1</v>
      </c>
      <c r="N1074">
        <f>VLOOKUP(D1074,Products!$A:$F,4,FALSE)</f>
        <v>2617</v>
      </c>
      <c r="O1074" t="str">
        <f>VLOOKUP(C1074,Customers!$A:$F,5,FALSE)</f>
        <v>SMB</v>
      </c>
      <c r="P1074">
        <f>VLOOKUP(C1074,Customers!$A:$F,3,FALSE)</f>
        <v>39</v>
      </c>
      <c r="Q1074" t="str">
        <f>VLOOKUP(E1074,Sales_Reps!$A:$E,3,FALSE)</f>
        <v>South</v>
      </c>
      <c r="R1074" t="str">
        <f>VLOOKUP(E1074,Sales_Reps!$A:$E,2,FALSE)</f>
        <v>Ritu Menon</v>
      </c>
      <c r="S1074">
        <f t="shared" si="16"/>
        <v>0.56957236842105263</v>
      </c>
    </row>
    <row r="1075" spans="1:19" x14ac:dyDescent="0.3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  <c r="L1075" t="str">
        <f>VLOOKUP(D1075,Products!$A:$F,3,FALSE)</f>
        <v>Beauty</v>
      </c>
      <c r="M1075" t="b">
        <f>VLOOKUP(D1075,Products!$A:$F,6,FALSE)</f>
        <v>1</v>
      </c>
      <c r="N1075">
        <f>VLOOKUP(D1075,Products!$A:$F,4,FALSE)</f>
        <v>1728</v>
      </c>
      <c r="O1075" t="str">
        <f>VLOOKUP(C1075,Customers!$A:$F,5,FALSE)</f>
        <v>SMB</v>
      </c>
      <c r="P1075">
        <f>VLOOKUP(C1075,Customers!$A:$F,3,FALSE)</f>
        <v>40</v>
      </c>
      <c r="Q1075" t="str">
        <f>VLOOKUP(E1075,Sales_Reps!$A:$E,3,FALSE)</f>
        <v>West</v>
      </c>
      <c r="R1075" t="str">
        <f>VLOOKUP(E1075,Sales_Reps!$A:$E,2,FALSE)</f>
        <v>Rekha Chopra</v>
      </c>
      <c r="S1075">
        <f t="shared" si="16"/>
        <v>0.48417910447761192</v>
      </c>
    </row>
    <row r="1076" spans="1:19" x14ac:dyDescent="0.3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  <c r="L1076" t="str">
        <f>VLOOKUP(D1076,Products!$A:$F,3,FALSE)</f>
        <v>Sports</v>
      </c>
      <c r="M1076" t="b">
        <f>VLOOKUP(D1076,Products!$A:$F,6,FALSE)</f>
        <v>1</v>
      </c>
      <c r="N1076">
        <f>VLOOKUP(D1076,Products!$A:$F,4,FALSE)</f>
        <v>2827</v>
      </c>
      <c r="O1076" t="e">
        <f>VLOOKUP(C1076,Customers!$A:$F,5,FALSE)</f>
        <v>#N/A</v>
      </c>
      <c r="P1076" t="e">
        <f>VLOOKUP(C1076,Customers!$A:$F,3,FALSE)</f>
        <v>#N/A</v>
      </c>
      <c r="Q1076" t="str">
        <f>VLOOKUP(E1076,Sales_Reps!$A:$E,3,FALSE)</f>
        <v>West</v>
      </c>
      <c r="R1076" t="str">
        <f>VLOOKUP(E1076,Sales_Reps!$A:$E,2,FALSE)</f>
        <v>Ramesh Bhatt</v>
      </c>
      <c r="S1076">
        <f t="shared" si="16"/>
        <v>0.5926512968299712</v>
      </c>
    </row>
    <row r="1077" spans="1:19" x14ac:dyDescent="0.3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  <c r="L1077" t="str">
        <f>VLOOKUP(D1077,Products!$A:$F,3,FALSE)</f>
        <v>Home</v>
      </c>
      <c r="M1077" t="b">
        <f>VLOOKUP(D1077,Products!$A:$F,6,FALSE)</f>
        <v>1</v>
      </c>
      <c r="N1077">
        <f>VLOOKUP(D1077,Products!$A:$F,4,FALSE)</f>
        <v>288</v>
      </c>
      <c r="O1077" t="str">
        <f>VLOOKUP(C1077,Customers!$A:$F,5,FALSE)</f>
        <v>Corporate</v>
      </c>
      <c r="P1077">
        <f>VLOOKUP(C1077,Customers!$A:$F,3,FALSE)</f>
        <v>46</v>
      </c>
      <c r="Q1077" t="str">
        <f>VLOOKUP(E1077,Sales_Reps!$A:$E,3,FALSE)</f>
        <v>North</v>
      </c>
      <c r="R1077" t="str">
        <f>VLOOKUP(E1077,Sales_Reps!$A:$E,2,FALSE)</f>
        <v>Suresh Menon</v>
      </c>
      <c r="S1077">
        <f t="shared" si="16"/>
        <v>0.22162162162162163</v>
      </c>
    </row>
    <row r="1078" spans="1:19" x14ac:dyDescent="0.3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  <c r="L1078" t="str">
        <f>VLOOKUP(D1078,Products!$A:$F,3,FALSE)</f>
        <v>Home</v>
      </c>
      <c r="M1078" t="b">
        <f>VLOOKUP(D1078,Products!$A:$F,6,FALSE)</f>
        <v>1</v>
      </c>
      <c r="N1078">
        <f>VLOOKUP(D1078,Products!$A:$F,4,FALSE)</f>
        <v>2549</v>
      </c>
      <c r="O1078" t="str">
        <f>VLOOKUP(C1078,Customers!$A:$F,5,FALSE)</f>
        <v>SMB</v>
      </c>
      <c r="P1078">
        <f>VLOOKUP(C1078,Customers!$A:$F,3,FALSE)</f>
        <v>49</v>
      </c>
      <c r="Q1078" t="str">
        <f>VLOOKUP(E1078,Sales_Reps!$A:$E,3,FALSE)</f>
        <v>East</v>
      </c>
      <c r="R1078" t="str">
        <f>VLOOKUP(E1078,Sales_Reps!$A:$E,2,FALSE)</f>
        <v>Meera Iyer</v>
      </c>
      <c r="S1078">
        <f t="shared" si="16"/>
        <v>0.53570127504553733</v>
      </c>
    </row>
    <row r="1079" spans="1:19" x14ac:dyDescent="0.3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  <c r="L1079" t="str">
        <f>VLOOKUP(D1079,Products!$A:$F,3,FALSE)</f>
        <v>Grocery</v>
      </c>
      <c r="M1079" t="b">
        <f>VLOOKUP(D1079,Products!$A:$F,6,FALSE)</f>
        <v>0</v>
      </c>
      <c r="N1079">
        <f>VLOOKUP(D1079,Products!$A:$F,4,FALSE)</f>
        <v>2214</v>
      </c>
      <c r="O1079" t="str">
        <f>VLOOKUP(C1079,Customers!$A:$F,5,FALSE)</f>
        <v>Retail</v>
      </c>
      <c r="P1079">
        <f>VLOOKUP(C1079,Customers!$A:$F,3,FALSE)</f>
        <v>33</v>
      </c>
      <c r="Q1079" t="str">
        <f>VLOOKUP(E1079,Sales_Reps!$A:$E,3,FALSE)</f>
        <v>South</v>
      </c>
      <c r="R1079" t="str">
        <f>VLOOKUP(E1079,Sales_Reps!$A:$E,2,FALSE)</f>
        <v>Manoj Patel</v>
      </c>
      <c r="S1079">
        <f t="shared" si="16"/>
        <v>0.39508196721311473</v>
      </c>
    </row>
    <row r="1080" spans="1:19" x14ac:dyDescent="0.3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  <c r="L1080" t="str">
        <f>VLOOKUP(D1080,Products!$A:$F,3,FALSE)</f>
        <v>Electronics</v>
      </c>
      <c r="M1080" t="b">
        <f>VLOOKUP(D1080,Products!$A:$F,6,FALSE)</f>
        <v>1</v>
      </c>
      <c r="N1080">
        <f>VLOOKUP(D1080,Products!$A:$F,4,FALSE)</f>
        <v>128</v>
      </c>
      <c r="O1080" t="str">
        <f>VLOOKUP(C1080,Customers!$A:$F,5,FALSE)</f>
        <v>Retail</v>
      </c>
      <c r="P1080">
        <f>VLOOKUP(C1080,Customers!$A:$F,3,FALSE)</f>
        <v>50</v>
      </c>
      <c r="Q1080" t="str">
        <f>VLOOKUP(E1080,Sales_Reps!$A:$E,3,FALSE)</f>
        <v>West</v>
      </c>
      <c r="R1080" t="str">
        <f>VLOOKUP(E1080,Sales_Reps!$A:$E,2,FALSE)</f>
        <v>Arun Iyer</v>
      </c>
      <c r="S1080">
        <f t="shared" si="16"/>
        <v>0.57333333333333336</v>
      </c>
    </row>
    <row r="1081" spans="1:19" x14ac:dyDescent="0.3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  <c r="L1081" t="str">
        <f>VLOOKUP(D1081,Products!$A:$F,3,FALSE)</f>
        <v>Electronics</v>
      </c>
      <c r="M1081" t="b">
        <f>VLOOKUP(D1081,Products!$A:$F,6,FALSE)</f>
        <v>1</v>
      </c>
      <c r="N1081">
        <f>VLOOKUP(D1081,Products!$A:$F,4,FALSE)</f>
        <v>128</v>
      </c>
      <c r="O1081" t="str">
        <f>VLOOKUP(C1081,Customers!$A:$F,5,FALSE)</f>
        <v>Retail</v>
      </c>
      <c r="P1081">
        <f>VLOOKUP(C1081,Customers!$A:$F,3,FALSE)</f>
        <v>63</v>
      </c>
      <c r="Q1081" t="str">
        <f>VLOOKUP(E1081,Sales_Reps!$A:$E,3,FALSE)</f>
        <v>South</v>
      </c>
      <c r="R1081" t="str">
        <f>VLOOKUP(E1081,Sales_Reps!$A:$E,2,FALSE)</f>
        <v>Pooja Nair</v>
      </c>
      <c r="S1081">
        <f t="shared" si="16"/>
        <v>0.57333333333333336</v>
      </c>
    </row>
    <row r="1082" spans="1:19" x14ac:dyDescent="0.3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  <c r="L1082" t="str">
        <f>VLOOKUP(D1082,Products!$A:$F,3,FALSE)</f>
        <v>Beauty</v>
      </c>
      <c r="M1082" t="b">
        <f>VLOOKUP(D1082,Products!$A:$F,6,FALSE)</f>
        <v>1</v>
      </c>
      <c r="N1082">
        <f>VLOOKUP(D1082,Products!$A:$F,4,FALSE)</f>
        <v>675</v>
      </c>
      <c r="O1082" t="str">
        <f>VLOOKUP(C1082,Customers!$A:$F,5,FALSE)</f>
        <v>Retail</v>
      </c>
      <c r="P1082">
        <f>VLOOKUP(C1082,Customers!$A:$F,3,FALSE)</f>
        <v>39</v>
      </c>
      <c r="Q1082" t="str">
        <f>VLOOKUP(E1082,Sales_Reps!$A:$E,3,FALSE)</f>
        <v>South</v>
      </c>
      <c r="R1082" t="str">
        <f>VLOOKUP(E1082,Sales_Reps!$A:$E,2,FALSE)</f>
        <v>Ritu Menon</v>
      </c>
      <c r="S1082">
        <f t="shared" si="16"/>
        <v>0.296875</v>
      </c>
    </row>
    <row r="1083" spans="1:19" x14ac:dyDescent="0.3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  <c r="L1083" t="str">
        <f>VLOOKUP(D1083,Products!$A:$F,3,FALSE)</f>
        <v>Grocery</v>
      </c>
      <c r="M1083" t="b">
        <f>VLOOKUP(D1083,Products!$A:$F,6,FALSE)</f>
        <v>1</v>
      </c>
      <c r="N1083">
        <f>VLOOKUP(D1083,Products!$A:$F,4,FALSE)</f>
        <v>1412</v>
      </c>
      <c r="O1083" t="str">
        <f>VLOOKUP(C1083,Customers!$A:$F,5,FALSE)</f>
        <v>Retail</v>
      </c>
      <c r="P1083">
        <f>VLOOKUP(C1083,Customers!$A:$F,3,FALSE)</f>
        <v>41</v>
      </c>
      <c r="Q1083" t="str">
        <f>VLOOKUP(E1083,Sales_Reps!$A:$E,3,FALSE)</f>
        <v>West</v>
      </c>
      <c r="R1083" t="str">
        <f>VLOOKUP(E1083,Sales_Reps!$A:$E,2,FALSE)</f>
        <v>Ashok Reddy</v>
      </c>
      <c r="S1083">
        <f t="shared" si="16"/>
        <v>0.37797356828193834</v>
      </c>
    </row>
    <row r="1084" spans="1:19" x14ac:dyDescent="0.3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  <c r="L1084" t="str">
        <f>VLOOKUP(D1084,Products!$A:$F,3,FALSE)</f>
        <v>Home</v>
      </c>
      <c r="M1084" t="b">
        <f>VLOOKUP(D1084,Products!$A:$F,6,FALSE)</f>
        <v>1</v>
      </c>
      <c r="N1084">
        <f>VLOOKUP(D1084,Products!$A:$F,4,FALSE)</f>
        <v>1143</v>
      </c>
      <c r="O1084" t="str">
        <f>VLOOKUP(C1084,Customers!$A:$F,5,FALSE)</f>
        <v>Corporate</v>
      </c>
      <c r="P1084">
        <f>VLOOKUP(C1084,Customers!$A:$F,3,FALSE)</f>
        <v>59</v>
      </c>
      <c r="Q1084" t="str">
        <f>VLOOKUP(E1084,Sales_Reps!$A:$E,3,FALSE)</f>
        <v>West</v>
      </c>
      <c r="R1084" t="str">
        <f>VLOOKUP(E1084,Sales_Reps!$A:$E,2,FALSE)</f>
        <v>Ramesh Bhatt</v>
      </c>
      <c r="S1084">
        <f t="shared" si="16"/>
        <v>0.43694581280788175</v>
      </c>
    </row>
    <row r="1085" spans="1:19" x14ac:dyDescent="0.3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  <c r="L1085" t="str">
        <f>VLOOKUP(D1085,Products!$A:$F,3,FALSE)</f>
        <v>Home</v>
      </c>
      <c r="M1085" t="b">
        <f>VLOOKUP(D1085,Products!$A:$F,6,FALSE)</f>
        <v>1</v>
      </c>
      <c r="N1085">
        <f>VLOOKUP(D1085,Products!$A:$F,4,FALSE)</f>
        <v>519</v>
      </c>
      <c r="O1085" t="str">
        <f>VLOOKUP(C1085,Customers!$A:$F,5,FALSE)</f>
        <v>Retail</v>
      </c>
      <c r="P1085">
        <f>VLOOKUP(C1085,Customers!$A:$F,3,FALSE)</f>
        <v>37</v>
      </c>
      <c r="Q1085" t="str">
        <f>VLOOKUP(E1085,Sales_Reps!$A:$E,3,FALSE)</f>
        <v>East</v>
      </c>
      <c r="R1085" t="str">
        <f>VLOOKUP(E1085,Sales_Reps!$A:$E,2,FALSE)</f>
        <v>Gaurav Desai</v>
      </c>
      <c r="S1085">
        <f t="shared" si="16"/>
        <v>0.51944444444444449</v>
      </c>
    </row>
    <row r="1086" spans="1:19" x14ac:dyDescent="0.3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  <c r="L1086" t="str">
        <f>VLOOKUP(D1086,Products!$A:$F,3,FALSE)</f>
        <v>Sports</v>
      </c>
      <c r="M1086" t="b">
        <f>VLOOKUP(D1086,Products!$A:$F,6,FALSE)</f>
        <v>1</v>
      </c>
      <c r="N1086">
        <f>VLOOKUP(D1086,Products!$A:$F,4,FALSE)</f>
        <v>2028</v>
      </c>
      <c r="O1086" t="str">
        <f>VLOOKUP(C1086,Customers!$A:$F,5,FALSE)</f>
        <v>Retail</v>
      </c>
      <c r="P1086">
        <f>VLOOKUP(C1086,Customers!$A:$F,3,FALSE)</f>
        <v>50</v>
      </c>
      <c r="Q1086" t="str">
        <f>VLOOKUP(E1086,Sales_Reps!$A:$E,3,FALSE)</f>
        <v>West</v>
      </c>
      <c r="R1086" t="str">
        <f>VLOOKUP(E1086,Sales_Reps!$A:$E,2,FALSE)</f>
        <v>Ashok Reddy</v>
      </c>
      <c r="S1086">
        <f t="shared" si="16"/>
        <v>0.29090909090909089</v>
      </c>
    </row>
    <row r="1087" spans="1:19" x14ac:dyDescent="0.3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  <c r="L1087" t="str">
        <f>VLOOKUP(D1087,Products!$A:$F,3,FALSE)</f>
        <v>Grocery</v>
      </c>
      <c r="M1087" t="b">
        <f>VLOOKUP(D1087,Products!$A:$F,6,FALSE)</f>
        <v>1</v>
      </c>
      <c r="N1087">
        <f>VLOOKUP(D1087,Products!$A:$F,4,FALSE)</f>
        <v>1203</v>
      </c>
      <c r="O1087" t="str">
        <f>VLOOKUP(C1087,Customers!$A:$F,5,FALSE)</f>
        <v>Corporate</v>
      </c>
      <c r="P1087">
        <f>VLOOKUP(C1087,Customers!$A:$F,3,FALSE)</f>
        <v>46</v>
      </c>
      <c r="Q1087" t="str">
        <f>VLOOKUP(E1087,Sales_Reps!$A:$E,3,FALSE)</f>
        <v>South</v>
      </c>
      <c r="R1087" t="str">
        <f>VLOOKUP(E1087,Sales_Reps!$A:$E,2,FALSE)</f>
        <v>Pooja Nair</v>
      </c>
      <c r="S1087">
        <f t="shared" si="16"/>
        <v>0.47004405286343615</v>
      </c>
    </row>
    <row r="1088" spans="1:19" x14ac:dyDescent="0.3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  <c r="L1088" t="str">
        <f>VLOOKUP(D1088,Products!$A:$F,3,FALSE)</f>
        <v>Apparel</v>
      </c>
      <c r="M1088" t="b">
        <f>VLOOKUP(D1088,Products!$A:$F,6,FALSE)</f>
        <v>1</v>
      </c>
      <c r="N1088">
        <f>VLOOKUP(D1088,Products!$A:$F,4,FALSE)</f>
        <v>1962</v>
      </c>
      <c r="O1088" t="str">
        <f>VLOOKUP(C1088,Customers!$A:$F,5,FALSE)</f>
        <v>Retail</v>
      </c>
      <c r="P1088">
        <f>VLOOKUP(C1088,Customers!$A:$F,3,FALSE)</f>
        <v>49</v>
      </c>
      <c r="Q1088" t="str">
        <f>VLOOKUP(E1088,Sales_Reps!$A:$E,3,FALSE)</f>
        <v>West</v>
      </c>
      <c r="R1088" t="str">
        <f>VLOOKUP(E1088,Sales_Reps!$A:$E,2,FALSE)</f>
        <v>Rekha Chopra</v>
      </c>
      <c r="S1088">
        <f t="shared" si="16"/>
        <v>0.2786764705882353</v>
      </c>
    </row>
    <row r="1089" spans="1:19" x14ac:dyDescent="0.3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  <c r="L1089" t="str">
        <f>VLOOKUP(D1089,Products!$A:$F,3,FALSE)</f>
        <v>Electronics</v>
      </c>
      <c r="M1089" t="b">
        <f>VLOOKUP(D1089,Products!$A:$F,6,FALSE)</f>
        <v>1</v>
      </c>
      <c r="N1089">
        <f>VLOOKUP(D1089,Products!$A:$F,4,FALSE)</f>
        <v>1559</v>
      </c>
      <c r="O1089" t="str">
        <f>VLOOKUP(C1089,Customers!$A:$F,5,FALSE)</f>
        <v>Corporate</v>
      </c>
      <c r="P1089">
        <f>VLOOKUP(C1089,Customers!$A:$F,3,FALSE)</f>
        <v>55</v>
      </c>
      <c r="Q1089" t="str">
        <f>VLOOKUP(E1089,Sales_Reps!$A:$E,3,FALSE)</f>
        <v>North</v>
      </c>
      <c r="R1089" t="str">
        <f>VLOOKUP(E1089,Sales_Reps!$A:$E,2,FALSE)</f>
        <v>Vikram Patel</v>
      </c>
      <c r="S1089">
        <f t="shared" si="16"/>
        <v>0.59715762273901807</v>
      </c>
    </row>
    <row r="1090" spans="1:19" x14ac:dyDescent="0.3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  <c r="L1090" t="str">
        <f>VLOOKUP(D1090,Products!$A:$F,3,FALSE)</f>
        <v>Apparel</v>
      </c>
      <c r="M1090" t="b">
        <f>VLOOKUP(D1090,Products!$A:$F,6,FALSE)</f>
        <v>1</v>
      </c>
      <c r="N1090">
        <f>VLOOKUP(D1090,Products!$A:$F,4,FALSE)</f>
        <v>1748</v>
      </c>
      <c r="O1090" t="str">
        <f>VLOOKUP(C1090,Customers!$A:$F,5,FALSE)</f>
        <v>Corporate</v>
      </c>
      <c r="P1090">
        <f>VLOOKUP(C1090,Customers!$A:$F,3,FALSE)</f>
        <v>60</v>
      </c>
      <c r="Q1090" t="str">
        <f>VLOOKUP(E1090,Sales_Reps!$A:$E,3,FALSE)</f>
        <v>East</v>
      </c>
      <c r="R1090" t="str">
        <f>VLOOKUP(E1090,Sales_Reps!$A:$E,2,FALSE)</f>
        <v>Prakash Shah</v>
      </c>
      <c r="S1090">
        <f t="shared" si="16"/>
        <v>0.49333333333333335</v>
      </c>
    </row>
    <row r="1091" spans="1:19" x14ac:dyDescent="0.3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  <c r="L1091" t="str">
        <f>VLOOKUP(D1091,Products!$A:$F,3,FALSE)</f>
        <v>Sports</v>
      </c>
      <c r="M1091" t="b">
        <f>VLOOKUP(D1091,Products!$A:$F,6,FALSE)</f>
        <v>0</v>
      </c>
      <c r="N1091">
        <f>VLOOKUP(D1091,Products!$A:$F,4,FALSE)</f>
        <v>302</v>
      </c>
      <c r="O1091" t="str">
        <f>VLOOKUP(C1091,Customers!$A:$F,5,FALSE)</f>
        <v>Retail</v>
      </c>
      <c r="P1091">
        <f>VLOOKUP(C1091,Customers!$A:$F,3,FALSE)</f>
        <v>40</v>
      </c>
      <c r="Q1091" t="str">
        <f>VLOOKUP(E1091,Sales_Reps!$A:$E,3,FALSE)</f>
        <v>North</v>
      </c>
      <c r="R1091" t="str">
        <f>VLOOKUP(E1091,Sales_Reps!$A:$E,2,FALSE)</f>
        <v>Sunita Malhotra</v>
      </c>
      <c r="S1091">
        <f t="shared" ref="S1091:S1154" si="17">IFERROR((G1091-N1091)/G1091,"")</f>
        <v>0.35744680851063831</v>
      </c>
    </row>
    <row r="1092" spans="1:19" x14ac:dyDescent="0.3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  <c r="L1092" t="str">
        <f>VLOOKUP(D1092,Products!$A:$F,3,FALSE)</f>
        <v>Electronics</v>
      </c>
      <c r="M1092" t="b">
        <f>VLOOKUP(D1092,Products!$A:$F,6,FALSE)</f>
        <v>1</v>
      </c>
      <c r="N1092">
        <f>VLOOKUP(D1092,Products!$A:$F,4,FALSE)</f>
        <v>2865</v>
      </c>
      <c r="O1092" t="str">
        <f>VLOOKUP(C1092,Customers!$A:$F,5,FALSE)</f>
        <v>Retail</v>
      </c>
      <c r="P1092">
        <f>VLOOKUP(C1092,Customers!$A:$F,3,FALSE)</f>
        <v>28</v>
      </c>
      <c r="Q1092" t="str">
        <f>VLOOKUP(E1092,Sales_Reps!$A:$E,3,FALSE)</f>
        <v>South</v>
      </c>
      <c r="R1092" t="str">
        <f>VLOOKUP(E1092,Sales_Reps!$A:$E,2,FALSE)</f>
        <v>Manoj Patel</v>
      </c>
      <c r="S1092">
        <f t="shared" si="17"/>
        <v>0.27833753148614609</v>
      </c>
    </row>
    <row r="1093" spans="1:19" x14ac:dyDescent="0.3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  <c r="L1093" t="str">
        <f>VLOOKUP(D1093,Products!$A:$F,3,FALSE)</f>
        <v>Beauty</v>
      </c>
      <c r="M1093" t="b">
        <f>VLOOKUP(D1093,Products!$A:$F,6,FALSE)</f>
        <v>1</v>
      </c>
      <c r="N1093">
        <f>VLOOKUP(D1093,Products!$A:$F,4,FALSE)</f>
        <v>2237</v>
      </c>
      <c r="O1093" t="str">
        <f>VLOOKUP(C1093,Customers!$A:$F,5,FALSE)</f>
        <v>SMB</v>
      </c>
      <c r="P1093">
        <f>VLOOKUP(C1093,Customers!$A:$F,3,FALSE)</f>
        <v>44</v>
      </c>
      <c r="Q1093" t="str">
        <f>VLOOKUP(E1093,Sales_Reps!$A:$E,3,FALSE)</f>
        <v>South</v>
      </c>
      <c r="R1093" t="str">
        <f>VLOOKUP(E1093,Sales_Reps!$A:$E,2,FALSE)</f>
        <v>Pooja Nair</v>
      </c>
      <c r="S1093">
        <f t="shared" si="17"/>
        <v>0.56137254901960787</v>
      </c>
    </row>
    <row r="1094" spans="1:19" x14ac:dyDescent="0.3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  <c r="L1094" t="str">
        <f>VLOOKUP(D1094,Products!$A:$F,3,FALSE)</f>
        <v>Beauty</v>
      </c>
      <c r="M1094" t="b">
        <f>VLOOKUP(D1094,Products!$A:$F,6,FALSE)</f>
        <v>1</v>
      </c>
      <c r="N1094">
        <f>VLOOKUP(D1094,Products!$A:$F,4,FALSE)</f>
        <v>2420</v>
      </c>
      <c r="O1094" t="str">
        <f>VLOOKUP(C1094,Customers!$A:$F,5,FALSE)</f>
        <v>Retail</v>
      </c>
      <c r="P1094">
        <f>VLOOKUP(C1094,Customers!$A:$F,3,FALSE)</f>
        <v>57</v>
      </c>
      <c r="Q1094" t="str">
        <f>VLOOKUP(E1094,Sales_Reps!$A:$E,3,FALSE)</f>
        <v>North</v>
      </c>
      <c r="R1094" t="str">
        <f>VLOOKUP(E1094,Sales_Reps!$A:$E,2,FALSE)</f>
        <v>Rajesh Malhotra</v>
      </c>
      <c r="S1094">
        <f t="shared" si="17"/>
        <v>0.29855072463768118</v>
      </c>
    </row>
    <row r="1095" spans="1:19" x14ac:dyDescent="0.3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  <c r="L1095" t="str">
        <f>VLOOKUP(D1095,Products!$A:$F,3,FALSE)</f>
        <v>Home</v>
      </c>
      <c r="M1095" t="b">
        <f>VLOOKUP(D1095,Products!$A:$F,6,FALSE)</f>
        <v>1</v>
      </c>
      <c r="N1095">
        <f>VLOOKUP(D1095,Products!$A:$F,4,FALSE)</f>
        <v>2135</v>
      </c>
      <c r="O1095" t="str">
        <f>VLOOKUP(C1095,Customers!$A:$F,5,FALSE)</f>
        <v>Retail</v>
      </c>
      <c r="P1095">
        <f>VLOOKUP(C1095,Customers!$A:$F,3,FALSE)</f>
        <v>26</v>
      </c>
      <c r="Q1095" t="str">
        <f>VLOOKUP(E1095,Sales_Reps!$A:$E,3,FALSE)</f>
        <v>South</v>
      </c>
      <c r="R1095" t="str">
        <f>VLOOKUP(E1095,Sales_Reps!$A:$E,2,FALSE)</f>
        <v>Pooja Nair</v>
      </c>
      <c r="S1095">
        <f t="shared" si="17"/>
        <v>0.42761394101876676</v>
      </c>
    </row>
    <row r="1096" spans="1:19" x14ac:dyDescent="0.3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  <c r="L1096" t="str">
        <f>VLOOKUP(D1096,Products!$A:$F,3,FALSE)</f>
        <v>Beauty</v>
      </c>
      <c r="M1096" t="b">
        <f>VLOOKUP(D1096,Products!$A:$F,6,FALSE)</f>
        <v>1</v>
      </c>
      <c r="N1096">
        <f>VLOOKUP(D1096,Products!$A:$F,4,FALSE)</f>
        <v>675</v>
      </c>
      <c r="O1096" t="str">
        <f>VLOOKUP(C1096,Customers!$A:$F,5,FALSE)</f>
        <v>Corporate</v>
      </c>
      <c r="P1096">
        <f>VLOOKUP(C1096,Customers!$A:$F,3,FALSE)</f>
        <v>60</v>
      </c>
      <c r="Q1096" t="str">
        <f>VLOOKUP(E1096,Sales_Reps!$A:$E,3,FALSE)</f>
        <v>East</v>
      </c>
      <c r="R1096" t="str">
        <f>VLOOKUP(E1096,Sales_Reps!$A:$E,2,FALSE)</f>
        <v>Meera Iyer</v>
      </c>
      <c r="S1096">
        <f t="shared" si="17"/>
        <v>0.296875</v>
      </c>
    </row>
    <row r="1097" spans="1:19" x14ac:dyDescent="0.3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  <c r="L1097" t="str">
        <f>VLOOKUP(D1097,Products!$A:$F,3,FALSE)</f>
        <v>Home</v>
      </c>
      <c r="M1097" t="b">
        <f>VLOOKUP(D1097,Products!$A:$F,6,FALSE)</f>
        <v>1</v>
      </c>
      <c r="N1097">
        <f>VLOOKUP(D1097,Products!$A:$F,4,FALSE)</f>
        <v>2459</v>
      </c>
      <c r="O1097" t="str">
        <f>VLOOKUP(C1097,Customers!$A:$F,5,FALSE)</f>
        <v>SMB</v>
      </c>
      <c r="P1097">
        <f>VLOOKUP(C1097,Customers!$A:$F,3,FALSE)</f>
        <v>29</v>
      </c>
      <c r="Q1097" t="str">
        <f>VLOOKUP(E1097,Sales_Reps!$A:$E,3,FALSE)</f>
        <v>North</v>
      </c>
      <c r="R1097" t="str">
        <f>VLOOKUP(E1097,Sales_Reps!$A:$E,2,FALSE)</f>
        <v>Kavita Patel</v>
      </c>
      <c r="S1097">
        <f t="shared" si="17"/>
        <v>0.51594488188976373</v>
      </c>
    </row>
    <row r="1098" spans="1:19" x14ac:dyDescent="0.3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  <c r="L1098" t="str">
        <f>VLOOKUP(D1098,Products!$A:$F,3,FALSE)</f>
        <v>Electronics</v>
      </c>
      <c r="M1098" t="b">
        <f>VLOOKUP(D1098,Products!$A:$F,6,FALSE)</f>
        <v>1</v>
      </c>
      <c r="N1098">
        <f>VLOOKUP(D1098,Products!$A:$F,4,FALSE)</f>
        <v>1559</v>
      </c>
      <c r="O1098" t="str">
        <f>VLOOKUP(C1098,Customers!$A:$F,5,FALSE)</f>
        <v>Retail</v>
      </c>
      <c r="P1098">
        <f>VLOOKUP(C1098,Customers!$A:$F,3,FALSE)</f>
        <v>65</v>
      </c>
      <c r="Q1098" t="str">
        <f>VLOOKUP(E1098,Sales_Reps!$A:$E,3,FALSE)</f>
        <v>North</v>
      </c>
      <c r="R1098" t="str">
        <f>VLOOKUP(E1098,Sales_Reps!$A:$E,2,FALSE)</f>
        <v>Amit Singh</v>
      </c>
      <c r="S1098">
        <f t="shared" si="17"/>
        <v>0.59715762273901807</v>
      </c>
    </row>
    <row r="1099" spans="1:19" x14ac:dyDescent="0.3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  <c r="L1099" t="str">
        <f>VLOOKUP(D1099,Products!$A:$F,3,FALSE)</f>
        <v>Sports</v>
      </c>
      <c r="M1099" t="b">
        <f>VLOOKUP(D1099,Products!$A:$F,6,FALSE)</f>
        <v>1</v>
      </c>
      <c r="N1099">
        <f>VLOOKUP(D1099,Products!$A:$F,4,FALSE)</f>
        <v>1860</v>
      </c>
      <c r="O1099" t="str">
        <f>VLOOKUP(C1099,Customers!$A:$F,5,FALSE)</f>
        <v>Corporate</v>
      </c>
      <c r="P1099">
        <f>VLOOKUP(C1099,Customers!$A:$F,3,FALSE)</f>
        <v>48</v>
      </c>
      <c r="Q1099" t="str">
        <f>VLOOKUP(E1099,Sales_Reps!$A:$E,3,FALSE)</f>
        <v>West</v>
      </c>
      <c r="R1099" t="str">
        <f>VLOOKUP(E1099,Sales_Reps!$A:$E,2,FALSE)</f>
        <v>Rekha Chopra</v>
      </c>
      <c r="S1099">
        <f t="shared" si="17"/>
        <v>0.50793650793650791</v>
      </c>
    </row>
    <row r="1100" spans="1:19" x14ac:dyDescent="0.3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  <c r="L1100" t="str">
        <f>VLOOKUP(D1100,Products!$A:$F,3,FALSE)</f>
        <v>Electronics</v>
      </c>
      <c r="M1100" t="b">
        <f>VLOOKUP(D1100,Products!$A:$F,6,FALSE)</f>
        <v>1</v>
      </c>
      <c r="N1100">
        <f>VLOOKUP(D1100,Products!$A:$F,4,FALSE)</f>
        <v>1559</v>
      </c>
      <c r="O1100" t="str">
        <f>VLOOKUP(C1100,Customers!$A:$F,5,FALSE)</f>
        <v>Retail</v>
      </c>
      <c r="P1100">
        <f>VLOOKUP(C1100,Customers!$A:$F,3,FALSE)</f>
        <v>27</v>
      </c>
      <c r="Q1100" t="str">
        <f>VLOOKUP(E1100,Sales_Reps!$A:$E,3,FALSE)</f>
        <v>East</v>
      </c>
      <c r="R1100" t="str">
        <f>VLOOKUP(E1100,Sales_Reps!$A:$E,2,FALSE)</f>
        <v>Naveen Singh</v>
      </c>
      <c r="S1100">
        <f t="shared" si="17"/>
        <v>0.59715762273901807</v>
      </c>
    </row>
    <row r="1101" spans="1:19" x14ac:dyDescent="0.3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  <c r="L1101" t="str">
        <f>VLOOKUP(D1101,Products!$A:$F,3,FALSE)</f>
        <v>Home</v>
      </c>
      <c r="M1101" t="b">
        <f>VLOOKUP(D1101,Products!$A:$F,6,FALSE)</f>
        <v>1</v>
      </c>
      <c r="N1101">
        <f>VLOOKUP(D1101,Products!$A:$F,4,FALSE)</f>
        <v>1143</v>
      </c>
      <c r="O1101" t="str">
        <f>VLOOKUP(C1101,Customers!$A:$F,5,FALSE)</f>
        <v>SMB</v>
      </c>
      <c r="P1101">
        <f>VLOOKUP(C1101,Customers!$A:$F,3,FALSE)</f>
        <v>29</v>
      </c>
      <c r="Q1101" t="str">
        <f>VLOOKUP(E1101,Sales_Reps!$A:$E,3,FALSE)</f>
        <v>South</v>
      </c>
      <c r="R1101" t="str">
        <f>VLOOKUP(E1101,Sales_Reps!$A:$E,2,FALSE)</f>
        <v>Manoj Patel</v>
      </c>
      <c r="S1101">
        <f t="shared" si="17"/>
        <v>0.43694581280788175</v>
      </c>
    </row>
    <row r="1102" spans="1:19" x14ac:dyDescent="0.3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  <c r="L1102" t="str">
        <f>VLOOKUP(D1102,Products!$A:$F,3,FALSE)</f>
        <v>Grocery</v>
      </c>
      <c r="M1102" t="b">
        <f>VLOOKUP(D1102,Products!$A:$F,6,FALSE)</f>
        <v>1</v>
      </c>
      <c r="N1102">
        <f>VLOOKUP(D1102,Products!$A:$F,4,FALSE)</f>
        <v>1010</v>
      </c>
      <c r="O1102" t="str">
        <f>VLOOKUP(C1102,Customers!$A:$F,5,FALSE)</f>
        <v>SMB</v>
      </c>
      <c r="P1102">
        <f>VLOOKUP(C1102,Customers!$A:$F,3,FALSE)</f>
        <v>48</v>
      </c>
      <c r="Q1102" t="str">
        <f>VLOOKUP(E1102,Sales_Reps!$A:$E,3,FALSE)</f>
        <v>North</v>
      </c>
      <c r="R1102" t="str">
        <f>VLOOKUP(E1102,Sales_Reps!$A:$E,2,FALSE)</f>
        <v>Amit Singh</v>
      </c>
      <c r="S1102">
        <f t="shared" si="17"/>
        <v>0.54298642533936647</v>
      </c>
    </row>
    <row r="1103" spans="1:19" x14ac:dyDescent="0.3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  <c r="L1103" t="str">
        <f>VLOOKUP(D1103,Products!$A:$F,3,FALSE)</f>
        <v>Beauty</v>
      </c>
      <c r="M1103" t="b">
        <f>VLOOKUP(D1103,Products!$A:$F,6,FALSE)</f>
        <v>0</v>
      </c>
      <c r="N1103">
        <f>VLOOKUP(D1103,Products!$A:$F,4,FALSE)</f>
        <v>647</v>
      </c>
      <c r="O1103" t="str">
        <f>VLOOKUP(C1103,Customers!$A:$F,5,FALSE)</f>
        <v>Corporate</v>
      </c>
      <c r="P1103">
        <f>VLOOKUP(C1103,Customers!$A:$F,3,FALSE)</f>
        <v>44</v>
      </c>
      <c r="Q1103" t="str">
        <f>VLOOKUP(E1103,Sales_Reps!$A:$E,3,FALSE)</f>
        <v>East</v>
      </c>
      <c r="R1103" t="str">
        <f>VLOOKUP(E1103,Sales_Reps!$A:$E,2,FALSE)</f>
        <v>Naveen Singh</v>
      </c>
      <c r="S1103">
        <f t="shared" si="17"/>
        <v>0.57987012987012987</v>
      </c>
    </row>
    <row r="1104" spans="1:19" x14ac:dyDescent="0.3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  <c r="L1104" t="str">
        <f>VLOOKUP(D1104,Products!$A:$F,3,FALSE)</f>
        <v>Sports</v>
      </c>
      <c r="M1104" t="b">
        <f>VLOOKUP(D1104,Products!$A:$F,6,FALSE)</f>
        <v>1</v>
      </c>
      <c r="N1104">
        <f>VLOOKUP(D1104,Products!$A:$F,4,FALSE)</f>
        <v>516</v>
      </c>
      <c r="O1104" t="str">
        <f>VLOOKUP(C1104,Customers!$A:$F,5,FALSE)</f>
        <v>Retail</v>
      </c>
      <c r="P1104">
        <f>VLOOKUP(C1104,Customers!$A:$F,3,FALSE)</f>
        <v>43</v>
      </c>
      <c r="Q1104" t="str">
        <f>VLOOKUP(E1104,Sales_Reps!$A:$E,3,FALSE)</f>
        <v>South</v>
      </c>
      <c r="R1104" t="str">
        <f>VLOOKUP(E1104,Sales_Reps!$A:$E,2,FALSE)</f>
        <v>Anil Verma</v>
      </c>
      <c r="S1104">
        <f t="shared" si="17"/>
        <v>0.4891089108910891</v>
      </c>
    </row>
    <row r="1105" spans="1:19" x14ac:dyDescent="0.3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  <c r="L1105" t="str">
        <f>VLOOKUP(D1105,Products!$A:$F,3,FALSE)</f>
        <v>Electronics</v>
      </c>
      <c r="M1105" t="b">
        <f>VLOOKUP(D1105,Products!$A:$F,6,FALSE)</f>
        <v>1</v>
      </c>
      <c r="N1105">
        <f>VLOOKUP(D1105,Products!$A:$F,4,FALSE)</f>
        <v>2405</v>
      </c>
      <c r="O1105" t="str">
        <f>VLOOKUP(C1105,Customers!$A:$F,5,FALSE)</f>
        <v>SMB</v>
      </c>
      <c r="P1105">
        <f>VLOOKUP(C1105,Customers!$A:$F,3,FALSE)</f>
        <v>35</v>
      </c>
      <c r="Q1105" t="str">
        <f>VLOOKUP(E1105,Sales_Reps!$A:$E,3,FALSE)</f>
        <v>South</v>
      </c>
      <c r="R1105" t="str">
        <f>VLOOKUP(E1105,Sales_Reps!$A:$E,2,FALSE)</f>
        <v>Deepak Shah</v>
      </c>
      <c r="S1105">
        <f t="shared" si="17"/>
        <v>0.54878048780487809</v>
      </c>
    </row>
    <row r="1106" spans="1:19" x14ac:dyDescent="0.3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  <c r="L1106" t="str">
        <f>VLOOKUP(D1106,Products!$A:$F,3,FALSE)</f>
        <v>Electronics</v>
      </c>
      <c r="M1106" t="b">
        <f>VLOOKUP(D1106,Products!$A:$F,6,FALSE)</f>
        <v>1</v>
      </c>
      <c r="N1106">
        <f>VLOOKUP(D1106,Products!$A:$F,4,FALSE)</f>
        <v>1665</v>
      </c>
      <c r="O1106" t="str">
        <f>VLOOKUP(C1106,Customers!$A:$F,5,FALSE)</f>
        <v>Corporate</v>
      </c>
      <c r="P1106">
        <f>VLOOKUP(C1106,Customers!$A:$F,3,FALSE)</f>
        <v>24</v>
      </c>
      <c r="Q1106" t="str">
        <f>VLOOKUP(E1106,Sales_Reps!$A:$E,3,FALSE)</f>
        <v>East</v>
      </c>
      <c r="R1106" t="str">
        <f>VLOOKUP(E1106,Sales_Reps!$A:$E,2,FALSE)</f>
        <v>Nisha Menon</v>
      </c>
      <c r="S1106">
        <f t="shared" si="17"/>
        <v>0.53361344537815125</v>
      </c>
    </row>
    <row r="1107" spans="1:19" x14ac:dyDescent="0.3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  <c r="L1107" t="str">
        <f>VLOOKUP(D1107,Products!$A:$F,3,FALSE)</f>
        <v>Beauty</v>
      </c>
      <c r="M1107" t="b">
        <f>VLOOKUP(D1107,Products!$A:$F,6,FALSE)</f>
        <v>1</v>
      </c>
      <c r="N1107">
        <f>VLOOKUP(D1107,Products!$A:$F,4,FALSE)</f>
        <v>1728</v>
      </c>
      <c r="O1107" t="str">
        <f>VLOOKUP(C1107,Customers!$A:$F,5,FALSE)</f>
        <v>SMB</v>
      </c>
      <c r="P1107">
        <f>VLOOKUP(C1107,Customers!$A:$F,3,FALSE)</f>
        <v>62</v>
      </c>
      <c r="Q1107" t="str">
        <f>VLOOKUP(E1107,Sales_Reps!$A:$E,3,FALSE)</f>
        <v>East</v>
      </c>
      <c r="R1107" t="str">
        <f>VLOOKUP(E1107,Sales_Reps!$A:$E,2,FALSE)</f>
        <v>Naveen Singh</v>
      </c>
      <c r="S1107">
        <f t="shared" si="17"/>
        <v>0.48417910447761192</v>
      </c>
    </row>
    <row r="1108" spans="1:19" x14ac:dyDescent="0.3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  <c r="L1108" t="str">
        <f>VLOOKUP(D1108,Products!$A:$F,3,FALSE)</f>
        <v>Apparel</v>
      </c>
      <c r="M1108" t="b">
        <f>VLOOKUP(D1108,Products!$A:$F,6,FALSE)</f>
        <v>0</v>
      </c>
      <c r="N1108">
        <f>VLOOKUP(D1108,Products!$A:$F,4,FALSE)</f>
        <v>1075</v>
      </c>
      <c r="O1108" t="str">
        <f>VLOOKUP(C1108,Customers!$A:$F,5,FALSE)</f>
        <v>Retail</v>
      </c>
      <c r="P1108">
        <f>VLOOKUP(C1108,Customers!$A:$F,3,FALSE)</f>
        <v>53</v>
      </c>
      <c r="Q1108" t="str">
        <f>VLOOKUP(E1108,Sales_Reps!$A:$E,3,FALSE)</f>
        <v>East</v>
      </c>
      <c r="R1108" t="str">
        <f>VLOOKUP(E1108,Sales_Reps!$A:$E,2,FALSE)</f>
        <v>Vinod Kumar</v>
      </c>
      <c r="S1108">
        <f t="shared" si="17"/>
        <v>0.57171314741035861</v>
      </c>
    </row>
    <row r="1109" spans="1:19" x14ac:dyDescent="0.3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  <c r="L1109" t="str">
        <f>VLOOKUP(D1109,Products!$A:$F,3,FALSE)</f>
        <v>Grocery</v>
      </c>
      <c r="M1109" t="b">
        <f>VLOOKUP(D1109,Products!$A:$F,6,FALSE)</f>
        <v>1</v>
      </c>
      <c r="N1109">
        <f>VLOOKUP(D1109,Products!$A:$F,4,FALSE)</f>
        <v>434</v>
      </c>
      <c r="O1109" t="str">
        <f>VLOOKUP(C1109,Customers!$A:$F,5,FALSE)</f>
        <v>Retail</v>
      </c>
      <c r="P1109">
        <f>VLOOKUP(C1109,Customers!$A:$F,3,FALSE)</f>
        <v>54</v>
      </c>
      <c r="Q1109" t="str">
        <f>VLOOKUP(E1109,Sales_Reps!$A:$E,3,FALSE)</f>
        <v>West</v>
      </c>
      <c r="R1109" t="str">
        <f>VLOOKUP(E1109,Sales_Reps!$A:$E,2,FALSE)</f>
        <v>Ashok Reddy</v>
      </c>
      <c r="S1109">
        <f t="shared" si="17"/>
        <v>0.5525773195876289</v>
      </c>
    </row>
    <row r="1110" spans="1:19" x14ac:dyDescent="0.3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  <c r="L1110" t="str">
        <f>VLOOKUP(D1110,Products!$A:$F,3,FALSE)</f>
        <v>Grocery</v>
      </c>
      <c r="M1110" t="b">
        <f>VLOOKUP(D1110,Products!$A:$F,6,FALSE)</f>
        <v>1</v>
      </c>
      <c r="N1110">
        <f>VLOOKUP(D1110,Products!$A:$F,4,FALSE)</f>
        <v>2436</v>
      </c>
      <c r="O1110" t="str">
        <f>VLOOKUP(C1110,Customers!$A:$F,5,FALSE)</f>
        <v>SMB</v>
      </c>
      <c r="P1110">
        <f>VLOOKUP(C1110,Customers!$A:$F,3,FALSE)</f>
        <v>64</v>
      </c>
      <c r="Q1110" t="str">
        <f>VLOOKUP(E1110,Sales_Reps!$A:$E,3,FALSE)</f>
        <v>North</v>
      </c>
      <c r="R1110" t="str">
        <f>VLOOKUP(E1110,Sales_Reps!$A:$E,2,FALSE)</f>
        <v>Sunita Malhotra</v>
      </c>
      <c r="S1110">
        <f t="shared" si="17"/>
        <v>0.35555555555555557</v>
      </c>
    </row>
    <row r="1111" spans="1:19" x14ac:dyDescent="0.3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  <c r="L1111" t="str">
        <f>VLOOKUP(D1111,Products!$A:$F,3,FALSE)</f>
        <v>Apparel</v>
      </c>
      <c r="M1111" t="b">
        <f>VLOOKUP(D1111,Products!$A:$F,6,FALSE)</f>
        <v>0</v>
      </c>
      <c r="N1111">
        <f>VLOOKUP(D1111,Products!$A:$F,4,FALSE)</f>
        <v>1075</v>
      </c>
      <c r="O1111" t="str">
        <f>VLOOKUP(C1111,Customers!$A:$F,5,FALSE)</f>
        <v>SMB</v>
      </c>
      <c r="P1111">
        <f>VLOOKUP(C1111,Customers!$A:$F,3,FALSE)</f>
        <v>35</v>
      </c>
      <c r="Q1111" t="str">
        <f>VLOOKUP(E1111,Sales_Reps!$A:$E,3,FALSE)</f>
        <v>North</v>
      </c>
      <c r="R1111" t="str">
        <f>VLOOKUP(E1111,Sales_Reps!$A:$E,2,FALSE)</f>
        <v>Suresh Menon</v>
      </c>
      <c r="S1111">
        <f t="shared" si="17"/>
        <v>0.57171314741035861</v>
      </c>
    </row>
    <row r="1112" spans="1:19" x14ac:dyDescent="0.3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  <c r="L1112" t="str">
        <f>VLOOKUP(D1112,Products!$A:$F,3,FALSE)</f>
        <v>Home</v>
      </c>
      <c r="M1112" t="b">
        <f>VLOOKUP(D1112,Products!$A:$F,6,FALSE)</f>
        <v>1</v>
      </c>
      <c r="N1112">
        <f>VLOOKUP(D1112,Products!$A:$F,4,FALSE)</f>
        <v>1143</v>
      </c>
      <c r="O1112" t="str">
        <f>VLOOKUP(C1112,Customers!$A:$F,5,FALSE)</f>
        <v>Retail</v>
      </c>
      <c r="P1112">
        <f>VLOOKUP(C1112,Customers!$A:$F,3,FALSE)</f>
        <v>34</v>
      </c>
      <c r="Q1112" t="str">
        <f>VLOOKUP(E1112,Sales_Reps!$A:$E,3,FALSE)</f>
        <v>North</v>
      </c>
      <c r="R1112" t="str">
        <f>VLOOKUP(E1112,Sales_Reps!$A:$E,2,FALSE)</f>
        <v>Kavita Patel</v>
      </c>
      <c r="S1112">
        <f t="shared" si="17"/>
        <v>0.43694581280788175</v>
      </c>
    </row>
    <row r="1113" spans="1:19" x14ac:dyDescent="0.3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  <c r="L1113" t="str">
        <f>VLOOKUP(D1113,Products!$A:$F,3,FALSE)</f>
        <v>Sports</v>
      </c>
      <c r="M1113" t="b">
        <f>VLOOKUP(D1113,Products!$A:$F,6,FALSE)</f>
        <v>1</v>
      </c>
      <c r="N1113">
        <f>VLOOKUP(D1113,Products!$A:$F,4,FALSE)</f>
        <v>147</v>
      </c>
      <c r="O1113" t="str">
        <f>VLOOKUP(C1113,Customers!$A:$F,5,FALSE)</f>
        <v>Retail</v>
      </c>
      <c r="P1113">
        <f>VLOOKUP(C1113,Customers!$A:$F,3,FALSE)</f>
        <v>40</v>
      </c>
      <c r="Q1113" t="str">
        <f>VLOOKUP(E1113,Sales_Reps!$A:$E,3,FALSE)</f>
        <v>South</v>
      </c>
      <c r="R1113" t="str">
        <f>VLOOKUP(E1113,Sales_Reps!$A:$E,2,FALSE)</f>
        <v>Ritu Menon</v>
      </c>
      <c r="S1113">
        <f t="shared" si="17"/>
        <v>0.22631578947368422</v>
      </c>
    </row>
    <row r="1114" spans="1:19" x14ac:dyDescent="0.3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  <c r="L1114" t="str">
        <f>VLOOKUP(D1114,Products!$A:$F,3,FALSE)</f>
        <v>Grocery</v>
      </c>
      <c r="M1114" t="b">
        <f>VLOOKUP(D1114,Products!$A:$F,6,FALSE)</f>
        <v>1</v>
      </c>
      <c r="N1114">
        <f>VLOOKUP(D1114,Products!$A:$F,4,FALSE)</f>
        <v>1010</v>
      </c>
      <c r="O1114" t="str">
        <f>VLOOKUP(C1114,Customers!$A:$F,5,FALSE)</f>
        <v>Corporate</v>
      </c>
      <c r="P1114">
        <f>VLOOKUP(C1114,Customers!$A:$F,3,FALSE)</f>
        <v>38</v>
      </c>
      <c r="Q1114" t="str">
        <f>VLOOKUP(E1114,Sales_Reps!$A:$E,3,FALSE)</f>
        <v>East</v>
      </c>
      <c r="R1114" t="str">
        <f>VLOOKUP(E1114,Sales_Reps!$A:$E,2,FALSE)</f>
        <v>Meera Iyer</v>
      </c>
      <c r="S1114">
        <f t="shared" si="17"/>
        <v>0.54298642533936647</v>
      </c>
    </row>
    <row r="1115" spans="1:19" x14ac:dyDescent="0.3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  <c r="L1115" t="str">
        <f>VLOOKUP(D1115,Products!$A:$F,3,FALSE)</f>
        <v>Apparel</v>
      </c>
      <c r="M1115" t="b">
        <f>VLOOKUP(D1115,Products!$A:$F,6,FALSE)</f>
        <v>1</v>
      </c>
      <c r="N1115">
        <f>VLOOKUP(D1115,Products!$A:$F,4,FALSE)</f>
        <v>2611</v>
      </c>
      <c r="O1115" t="str">
        <f>VLOOKUP(C1115,Customers!$A:$F,5,FALSE)</f>
        <v>Retail</v>
      </c>
      <c r="P1115">
        <f>VLOOKUP(C1115,Customers!$A:$F,3,FALSE)</f>
        <v>44</v>
      </c>
      <c r="Q1115" t="str">
        <f>VLOOKUP(E1115,Sales_Reps!$A:$E,3,FALSE)</f>
        <v>North</v>
      </c>
      <c r="R1115" t="str">
        <f>VLOOKUP(E1115,Sales_Reps!$A:$E,2,FALSE)</f>
        <v>Vikram Patel</v>
      </c>
      <c r="S1115">
        <f t="shared" si="17"/>
        <v>0.28269230769230769</v>
      </c>
    </row>
    <row r="1116" spans="1:19" x14ac:dyDescent="0.3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  <c r="L1116" t="str">
        <f>VLOOKUP(D1116,Products!$A:$F,3,FALSE)</f>
        <v>Electronics</v>
      </c>
      <c r="M1116" t="b">
        <f>VLOOKUP(D1116,Products!$A:$F,6,FALSE)</f>
        <v>1</v>
      </c>
      <c r="N1116">
        <f>VLOOKUP(D1116,Products!$A:$F,4,FALSE)</f>
        <v>517</v>
      </c>
      <c r="O1116" t="str">
        <f>VLOOKUP(C1116,Customers!$A:$F,5,FALSE)</f>
        <v>Retail</v>
      </c>
      <c r="P1116">
        <f>VLOOKUP(C1116,Customers!$A:$F,3,FALSE)</f>
        <v>35</v>
      </c>
      <c r="Q1116" t="str">
        <f>VLOOKUP(E1116,Sales_Reps!$A:$E,3,FALSE)</f>
        <v>South</v>
      </c>
      <c r="R1116" t="str">
        <f>VLOOKUP(E1116,Sales_Reps!$A:$E,2,FALSE)</f>
        <v>Manoj Patel</v>
      </c>
      <c r="S1116">
        <f t="shared" si="17"/>
        <v>0.57622950819672136</v>
      </c>
    </row>
    <row r="1117" spans="1:19" x14ac:dyDescent="0.3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  <c r="L1117" t="str">
        <f>VLOOKUP(D1117,Products!$A:$F,3,FALSE)</f>
        <v>Sports</v>
      </c>
      <c r="M1117" t="b">
        <f>VLOOKUP(D1117,Products!$A:$F,6,FALSE)</f>
        <v>1</v>
      </c>
      <c r="N1117">
        <f>VLOOKUP(D1117,Products!$A:$F,4,FALSE)</f>
        <v>2827</v>
      </c>
      <c r="O1117" t="str">
        <f>VLOOKUP(C1117,Customers!$A:$F,5,FALSE)</f>
        <v>Retail</v>
      </c>
      <c r="P1117">
        <f>VLOOKUP(C1117,Customers!$A:$F,3,FALSE)</f>
        <v>26</v>
      </c>
      <c r="Q1117" t="str">
        <f>VLOOKUP(E1117,Sales_Reps!$A:$E,3,FALSE)</f>
        <v>South</v>
      </c>
      <c r="R1117" t="str">
        <f>VLOOKUP(E1117,Sales_Reps!$A:$E,2,FALSE)</f>
        <v>Manoj Patel</v>
      </c>
      <c r="S1117">
        <f t="shared" si="17"/>
        <v>0.5926512968299712</v>
      </c>
    </row>
    <row r="1118" spans="1:19" x14ac:dyDescent="0.3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  <c r="L1118" t="str">
        <f>VLOOKUP(D1118,Products!$A:$F,3,FALSE)</f>
        <v>Sports</v>
      </c>
      <c r="M1118" t="b">
        <f>VLOOKUP(D1118,Products!$A:$F,6,FALSE)</f>
        <v>1</v>
      </c>
      <c r="N1118">
        <f>VLOOKUP(D1118,Products!$A:$F,4,FALSE)</f>
        <v>2028</v>
      </c>
      <c r="O1118" t="str">
        <f>VLOOKUP(C1118,Customers!$A:$F,5,FALSE)</f>
        <v>SMB</v>
      </c>
      <c r="P1118">
        <f>VLOOKUP(C1118,Customers!$A:$F,3,FALSE)</f>
        <v>38</v>
      </c>
      <c r="Q1118" t="str">
        <f>VLOOKUP(E1118,Sales_Reps!$A:$E,3,FALSE)</f>
        <v>South</v>
      </c>
      <c r="R1118" t="str">
        <f>VLOOKUP(E1118,Sales_Reps!$A:$E,2,FALSE)</f>
        <v>Divya Rao</v>
      </c>
      <c r="S1118">
        <f t="shared" si="17"/>
        <v>0.29090909090909089</v>
      </c>
    </row>
    <row r="1119" spans="1:19" x14ac:dyDescent="0.3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  <c r="L1119" t="str">
        <f>VLOOKUP(D1119,Products!$A:$F,3,FALSE)</f>
        <v>Apparel</v>
      </c>
      <c r="M1119" t="b">
        <f>VLOOKUP(D1119,Products!$A:$F,6,FALSE)</f>
        <v>1</v>
      </c>
      <c r="N1119">
        <f>VLOOKUP(D1119,Products!$A:$F,4,FALSE)</f>
        <v>1962</v>
      </c>
      <c r="O1119" t="str">
        <f>VLOOKUP(C1119,Customers!$A:$F,5,FALSE)</f>
        <v>SMB</v>
      </c>
      <c r="P1119">
        <f>VLOOKUP(C1119,Customers!$A:$F,3,FALSE)</f>
        <v>52</v>
      </c>
      <c r="Q1119" t="str">
        <f>VLOOKUP(E1119,Sales_Reps!$A:$E,3,FALSE)</f>
        <v>East</v>
      </c>
      <c r="R1119" t="str">
        <f>VLOOKUP(E1119,Sales_Reps!$A:$E,2,FALSE)</f>
        <v>Shalini Patel</v>
      </c>
      <c r="S1119">
        <f t="shared" si="17"/>
        <v>0.2786764705882353</v>
      </c>
    </row>
    <row r="1120" spans="1:19" x14ac:dyDescent="0.3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  <c r="L1120" t="str">
        <f>VLOOKUP(D1120,Products!$A:$F,3,FALSE)</f>
        <v>Apparel</v>
      </c>
      <c r="M1120" t="b">
        <f>VLOOKUP(D1120,Products!$A:$F,6,FALSE)</f>
        <v>1</v>
      </c>
      <c r="N1120">
        <f>VLOOKUP(D1120,Products!$A:$F,4,FALSE)</f>
        <v>391</v>
      </c>
      <c r="O1120" t="str">
        <f>VLOOKUP(C1120,Customers!$A:$F,5,FALSE)</f>
        <v>Retail</v>
      </c>
      <c r="P1120">
        <f>VLOOKUP(C1120,Customers!$A:$F,3,FALSE)</f>
        <v>40</v>
      </c>
      <c r="Q1120" t="str">
        <f>VLOOKUP(E1120,Sales_Reps!$A:$E,3,FALSE)</f>
        <v>North</v>
      </c>
      <c r="R1120" t="str">
        <f>VLOOKUP(E1120,Sales_Reps!$A:$E,2,FALSE)</f>
        <v>Neha Desai</v>
      </c>
      <c r="S1120">
        <f t="shared" si="17"/>
        <v>0.52317073170731709</v>
      </c>
    </row>
    <row r="1121" spans="1:19" x14ac:dyDescent="0.3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  <c r="L1121" t="str">
        <f>VLOOKUP(D1121,Products!$A:$F,3,FALSE)</f>
        <v>Beauty</v>
      </c>
      <c r="M1121" t="b">
        <f>VLOOKUP(D1121,Products!$A:$F,6,FALSE)</f>
        <v>1</v>
      </c>
      <c r="N1121">
        <f>VLOOKUP(D1121,Products!$A:$F,4,FALSE)</f>
        <v>1219</v>
      </c>
      <c r="O1121" t="str">
        <f>VLOOKUP(C1121,Customers!$A:$F,5,FALSE)</f>
        <v>SMB</v>
      </c>
      <c r="P1121">
        <f>VLOOKUP(C1121,Customers!$A:$F,3,FALSE)</f>
        <v>51</v>
      </c>
      <c r="Q1121" t="str">
        <f>VLOOKUP(E1121,Sales_Reps!$A:$E,3,FALSE)</f>
        <v>East</v>
      </c>
      <c r="R1121" t="str">
        <f>VLOOKUP(E1121,Sales_Reps!$A:$E,2,FALSE)</f>
        <v>Nisha Menon</v>
      </c>
      <c r="S1121">
        <f t="shared" si="17"/>
        <v>0.46768558951965067</v>
      </c>
    </row>
    <row r="1122" spans="1:19" x14ac:dyDescent="0.3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  <c r="L1122" t="str">
        <f>VLOOKUP(D1122,Products!$A:$F,3,FALSE)</f>
        <v>Beauty</v>
      </c>
      <c r="M1122" t="b">
        <f>VLOOKUP(D1122,Products!$A:$F,6,FALSE)</f>
        <v>1</v>
      </c>
      <c r="N1122">
        <f>VLOOKUP(D1122,Products!$A:$F,4,FALSE)</f>
        <v>2420</v>
      </c>
      <c r="O1122" t="str">
        <f>VLOOKUP(C1122,Customers!$A:$F,5,FALSE)</f>
        <v>Retail</v>
      </c>
      <c r="P1122">
        <f>VLOOKUP(C1122,Customers!$A:$F,3,FALSE)</f>
        <v>28</v>
      </c>
      <c r="Q1122" t="str">
        <f>VLOOKUP(E1122,Sales_Reps!$A:$E,3,FALSE)</f>
        <v>East</v>
      </c>
      <c r="R1122" t="str">
        <f>VLOOKUP(E1122,Sales_Reps!$A:$E,2,FALSE)</f>
        <v>Gaurav Desai</v>
      </c>
      <c r="S1122">
        <f t="shared" si="17"/>
        <v>0.29855072463768118</v>
      </c>
    </row>
    <row r="1123" spans="1:19" x14ac:dyDescent="0.3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  <c r="L1123" t="str">
        <f>VLOOKUP(D1123,Products!$A:$F,3,FALSE)</f>
        <v>Home</v>
      </c>
      <c r="M1123" t="b">
        <f>VLOOKUP(D1123,Products!$A:$F,6,FALSE)</f>
        <v>1</v>
      </c>
      <c r="N1123">
        <f>VLOOKUP(D1123,Products!$A:$F,4,FALSE)</f>
        <v>1143</v>
      </c>
      <c r="O1123" t="str">
        <f>VLOOKUP(C1123,Customers!$A:$F,5,FALSE)</f>
        <v>Retail</v>
      </c>
      <c r="P1123">
        <f>VLOOKUP(C1123,Customers!$A:$F,3,FALSE)</f>
        <v>42</v>
      </c>
      <c r="Q1123" t="str">
        <f>VLOOKUP(E1123,Sales_Reps!$A:$E,3,FALSE)</f>
        <v>North</v>
      </c>
      <c r="R1123" t="str">
        <f>VLOOKUP(E1123,Sales_Reps!$A:$E,2,FALSE)</f>
        <v>Sunita Malhotra</v>
      </c>
      <c r="S1123">
        <f t="shared" si="17"/>
        <v>0.43694581280788175</v>
      </c>
    </row>
    <row r="1124" spans="1:19" x14ac:dyDescent="0.3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  <c r="L1124" t="str">
        <f>VLOOKUP(D1124,Products!$A:$F,3,FALSE)</f>
        <v>Sports</v>
      </c>
      <c r="M1124" t="b">
        <f>VLOOKUP(D1124,Products!$A:$F,6,FALSE)</f>
        <v>1</v>
      </c>
      <c r="N1124">
        <f>VLOOKUP(D1124,Products!$A:$F,4,FALSE)</f>
        <v>974</v>
      </c>
      <c r="O1124" t="str">
        <f>VLOOKUP(C1124,Customers!$A:$F,5,FALSE)</f>
        <v>SMB</v>
      </c>
      <c r="P1124">
        <f>VLOOKUP(C1124,Customers!$A:$F,3,FALSE)</f>
        <v>65</v>
      </c>
      <c r="Q1124" t="str">
        <f>VLOOKUP(E1124,Sales_Reps!$A:$E,3,FALSE)</f>
        <v>East</v>
      </c>
      <c r="R1124" t="str">
        <f>VLOOKUP(E1124,Sales_Reps!$A:$E,2,FALSE)</f>
        <v>Nisha Menon</v>
      </c>
      <c r="S1124">
        <f t="shared" si="17"/>
        <v>0.59416666666666662</v>
      </c>
    </row>
    <row r="1125" spans="1:19" x14ac:dyDescent="0.3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  <c r="L1125" t="str">
        <f>VLOOKUP(D1125,Products!$A:$F,3,FALSE)</f>
        <v>Home</v>
      </c>
      <c r="M1125" t="b">
        <f>VLOOKUP(D1125,Products!$A:$F,6,FALSE)</f>
        <v>1</v>
      </c>
      <c r="N1125">
        <f>VLOOKUP(D1125,Products!$A:$F,4,FALSE)</f>
        <v>1143</v>
      </c>
      <c r="O1125" t="str">
        <f>VLOOKUP(C1125,Customers!$A:$F,5,FALSE)</f>
        <v>SMB</v>
      </c>
      <c r="P1125">
        <f>VLOOKUP(C1125,Customers!$A:$F,3,FALSE)</f>
        <v>27</v>
      </c>
      <c r="Q1125" t="str">
        <f>VLOOKUP(E1125,Sales_Reps!$A:$E,3,FALSE)</f>
        <v>South</v>
      </c>
      <c r="R1125" t="str">
        <f>VLOOKUP(E1125,Sales_Reps!$A:$E,2,FALSE)</f>
        <v>Ritu Menon</v>
      </c>
      <c r="S1125">
        <f t="shared" si="17"/>
        <v>0.43694581280788175</v>
      </c>
    </row>
    <row r="1126" spans="1:19" x14ac:dyDescent="0.3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  <c r="L1126" t="str">
        <f>VLOOKUP(D1126,Products!$A:$F,3,FALSE)</f>
        <v>Grocery</v>
      </c>
      <c r="M1126" t="b">
        <f>VLOOKUP(D1126,Products!$A:$F,6,FALSE)</f>
        <v>1</v>
      </c>
      <c r="N1126">
        <f>VLOOKUP(D1126,Products!$A:$F,4,FALSE)</f>
        <v>2911</v>
      </c>
      <c r="O1126" t="str">
        <f>VLOOKUP(C1126,Customers!$A:$F,5,FALSE)</f>
        <v>Corporate</v>
      </c>
      <c r="P1126">
        <f>VLOOKUP(C1126,Customers!$A:$F,3,FALSE)</f>
        <v>55</v>
      </c>
      <c r="Q1126" t="str">
        <f>VLOOKUP(E1126,Sales_Reps!$A:$E,3,FALSE)</f>
        <v>North</v>
      </c>
      <c r="R1126" t="str">
        <f>VLOOKUP(E1126,Sales_Reps!$A:$E,2,FALSE)</f>
        <v>Sunita Malhotra</v>
      </c>
      <c r="S1126">
        <f t="shared" si="17"/>
        <v>0.28300492610837441</v>
      </c>
    </row>
    <row r="1127" spans="1:19" x14ac:dyDescent="0.3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  <c r="L1127" t="str">
        <f>VLOOKUP(D1127,Products!$A:$F,3,FALSE)</f>
        <v>Home</v>
      </c>
      <c r="M1127" t="b">
        <f>VLOOKUP(D1127,Products!$A:$F,6,FALSE)</f>
        <v>1</v>
      </c>
      <c r="N1127">
        <f>VLOOKUP(D1127,Products!$A:$F,4,FALSE)</f>
        <v>1143</v>
      </c>
      <c r="O1127" t="str">
        <f>VLOOKUP(C1127,Customers!$A:$F,5,FALSE)</f>
        <v>SMB</v>
      </c>
      <c r="P1127">
        <f>VLOOKUP(C1127,Customers!$A:$F,3,FALSE)</f>
        <v>53</v>
      </c>
      <c r="Q1127" t="str">
        <f>VLOOKUP(E1127,Sales_Reps!$A:$E,3,FALSE)</f>
        <v>South</v>
      </c>
      <c r="R1127" t="str">
        <f>VLOOKUP(E1127,Sales_Reps!$A:$E,2,FALSE)</f>
        <v>Sanjay Kapoor</v>
      </c>
      <c r="S1127">
        <f t="shared" si="17"/>
        <v>0.43694581280788175</v>
      </c>
    </row>
    <row r="1128" spans="1:19" x14ac:dyDescent="0.3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  <c r="L1128" t="str">
        <f>VLOOKUP(D1128,Products!$A:$F,3,FALSE)</f>
        <v>Beauty</v>
      </c>
      <c r="M1128" t="b">
        <f>VLOOKUP(D1128,Products!$A:$F,6,FALSE)</f>
        <v>1</v>
      </c>
      <c r="N1128">
        <f>VLOOKUP(D1128,Products!$A:$F,4,FALSE)</f>
        <v>1728</v>
      </c>
      <c r="O1128" t="str">
        <f>VLOOKUP(C1128,Customers!$A:$F,5,FALSE)</f>
        <v>Retail</v>
      </c>
      <c r="P1128">
        <f>VLOOKUP(C1128,Customers!$A:$F,3,FALSE)</f>
        <v>36</v>
      </c>
      <c r="Q1128" t="str">
        <f>VLOOKUP(E1128,Sales_Reps!$A:$E,3,FALSE)</f>
        <v>South</v>
      </c>
      <c r="R1128" t="str">
        <f>VLOOKUP(E1128,Sales_Reps!$A:$E,2,FALSE)</f>
        <v>Ritu Menon</v>
      </c>
      <c r="S1128">
        <f t="shared" si="17"/>
        <v>0.48417910447761192</v>
      </c>
    </row>
    <row r="1129" spans="1:19" x14ac:dyDescent="0.3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  <c r="L1129" t="str">
        <f>VLOOKUP(D1129,Products!$A:$F,3,FALSE)</f>
        <v>Home</v>
      </c>
      <c r="M1129" t="b">
        <f>VLOOKUP(D1129,Products!$A:$F,6,FALSE)</f>
        <v>1</v>
      </c>
      <c r="N1129">
        <f>VLOOKUP(D1129,Products!$A:$F,4,FALSE)</f>
        <v>329</v>
      </c>
      <c r="O1129" t="str">
        <f>VLOOKUP(C1129,Customers!$A:$F,5,FALSE)</f>
        <v>Corporate</v>
      </c>
      <c r="P1129">
        <f>VLOOKUP(C1129,Customers!$A:$F,3,FALSE)</f>
        <v>43</v>
      </c>
      <c r="Q1129" t="str">
        <f>VLOOKUP(E1129,Sales_Reps!$A:$E,3,FALSE)</f>
        <v>North</v>
      </c>
      <c r="R1129" t="str">
        <f>VLOOKUP(E1129,Sales_Reps!$A:$E,2,FALSE)</f>
        <v>Neha Desai</v>
      </c>
      <c r="S1129">
        <f t="shared" si="17"/>
        <v>0.50151515151515147</v>
      </c>
    </row>
    <row r="1130" spans="1:19" x14ac:dyDescent="0.3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  <c r="L1130" t="str">
        <f>VLOOKUP(D1130,Products!$A:$F,3,FALSE)</f>
        <v>Beauty</v>
      </c>
      <c r="M1130" t="b">
        <f>VLOOKUP(D1130,Products!$A:$F,6,FALSE)</f>
        <v>1</v>
      </c>
      <c r="N1130">
        <f>VLOOKUP(D1130,Products!$A:$F,4,FALSE)</f>
        <v>1626</v>
      </c>
      <c r="O1130" t="str">
        <f>VLOOKUP(C1130,Customers!$A:$F,5,FALSE)</f>
        <v>Retail</v>
      </c>
      <c r="P1130">
        <f>VLOOKUP(C1130,Customers!$A:$F,3,FALSE)</f>
        <v>54</v>
      </c>
      <c r="Q1130" t="str">
        <f>VLOOKUP(E1130,Sales_Reps!$A:$E,3,FALSE)</f>
        <v>South</v>
      </c>
      <c r="R1130" t="str">
        <f>VLOOKUP(E1130,Sales_Reps!$A:$E,2,FALSE)</f>
        <v>Ritu Menon</v>
      </c>
      <c r="S1130">
        <f t="shared" si="17"/>
        <v>0.46158940397350995</v>
      </c>
    </row>
    <row r="1131" spans="1:19" x14ac:dyDescent="0.3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  <c r="L1131" t="str">
        <f>VLOOKUP(D1131,Products!$A:$F,3,FALSE)</f>
        <v>Electronics</v>
      </c>
      <c r="M1131" t="b">
        <f>VLOOKUP(D1131,Products!$A:$F,6,FALSE)</f>
        <v>0</v>
      </c>
      <c r="N1131">
        <f>VLOOKUP(D1131,Products!$A:$F,4,FALSE)</f>
        <v>1259</v>
      </c>
      <c r="O1131" t="str">
        <f>VLOOKUP(C1131,Customers!$A:$F,5,FALSE)</f>
        <v>SMB</v>
      </c>
      <c r="P1131">
        <f>VLOOKUP(C1131,Customers!$A:$F,3,FALSE)</f>
        <v>61</v>
      </c>
      <c r="Q1131" t="str">
        <f>VLOOKUP(E1131,Sales_Reps!$A:$E,3,FALSE)</f>
        <v>North</v>
      </c>
      <c r="R1131" t="str">
        <f>VLOOKUP(E1131,Sales_Reps!$A:$E,2,FALSE)</f>
        <v>Neha Desai</v>
      </c>
      <c r="S1131">
        <f t="shared" si="17"/>
        <v>0.52669172932330832</v>
      </c>
    </row>
    <row r="1132" spans="1:19" x14ac:dyDescent="0.3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  <c r="L1132" t="str">
        <f>VLOOKUP(D1132,Products!$A:$F,3,FALSE)</f>
        <v>Sports</v>
      </c>
      <c r="M1132" t="b">
        <f>VLOOKUP(D1132,Products!$A:$F,6,FALSE)</f>
        <v>1</v>
      </c>
      <c r="N1132">
        <f>VLOOKUP(D1132,Products!$A:$F,4,FALSE)</f>
        <v>516</v>
      </c>
      <c r="O1132" t="str">
        <f>VLOOKUP(C1132,Customers!$A:$F,5,FALSE)</f>
        <v>Retail</v>
      </c>
      <c r="P1132">
        <f>VLOOKUP(C1132,Customers!$A:$F,3,FALSE)</f>
        <v>49</v>
      </c>
      <c r="Q1132" t="str">
        <f>VLOOKUP(E1132,Sales_Reps!$A:$E,3,FALSE)</f>
        <v>North</v>
      </c>
      <c r="R1132" t="str">
        <f>VLOOKUP(E1132,Sales_Reps!$A:$E,2,FALSE)</f>
        <v>Neha Desai</v>
      </c>
      <c r="S1132">
        <f t="shared" si="17"/>
        <v>0.4891089108910891</v>
      </c>
    </row>
    <row r="1133" spans="1:19" x14ac:dyDescent="0.3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  <c r="L1133" t="str">
        <f>VLOOKUP(D1133,Products!$A:$F,3,FALSE)</f>
        <v>Home</v>
      </c>
      <c r="M1133" t="b">
        <f>VLOOKUP(D1133,Products!$A:$F,6,FALSE)</f>
        <v>1</v>
      </c>
      <c r="N1133">
        <f>VLOOKUP(D1133,Products!$A:$F,4,FALSE)</f>
        <v>2549</v>
      </c>
      <c r="O1133" t="str">
        <f>VLOOKUP(C1133,Customers!$A:$F,5,FALSE)</f>
        <v>Retail</v>
      </c>
      <c r="P1133">
        <f>VLOOKUP(C1133,Customers!$A:$F,3,FALSE)</f>
        <v>35</v>
      </c>
      <c r="Q1133" t="str">
        <f>VLOOKUP(E1133,Sales_Reps!$A:$E,3,FALSE)</f>
        <v>East</v>
      </c>
      <c r="R1133" t="str">
        <f>VLOOKUP(E1133,Sales_Reps!$A:$E,2,FALSE)</f>
        <v>Naveen Singh</v>
      </c>
      <c r="S1133">
        <f t="shared" si="17"/>
        <v>0.53570127504553733</v>
      </c>
    </row>
    <row r="1134" spans="1:19" x14ac:dyDescent="0.3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  <c r="L1134" t="str">
        <f>VLOOKUP(D1134,Products!$A:$F,3,FALSE)</f>
        <v>Sports</v>
      </c>
      <c r="M1134" t="b">
        <f>VLOOKUP(D1134,Products!$A:$F,6,FALSE)</f>
        <v>1</v>
      </c>
      <c r="N1134">
        <f>VLOOKUP(D1134,Products!$A:$F,4,FALSE)</f>
        <v>974</v>
      </c>
      <c r="O1134" t="str">
        <f>VLOOKUP(C1134,Customers!$A:$F,5,FALSE)</f>
        <v>Retail</v>
      </c>
      <c r="P1134">
        <f>VLOOKUP(C1134,Customers!$A:$F,3,FALSE)</f>
        <v>54</v>
      </c>
      <c r="Q1134" t="str">
        <f>VLOOKUP(E1134,Sales_Reps!$A:$E,3,FALSE)</f>
        <v>East</v>
      </c>
      <c r="R1134" t="str">
        <f>VLOOKUP(E1134,Sales_Reps!$A:$E,2,FALSE)</f>
        <v>Prakash Shah</v>
      </c>
      <c r="S1134">
        <f t="shared" si="17"/>
        <v>0.59416666666666662</v>
      </c>
    </row>
    <row r="1135" spans="1:19" x14ac:dyDescent="0.3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  <c r="L1135" t="str">
        <f>VLOOKUP(D1135,Products!$A:$F,3,FALSE)</f>
        <v>Home</v>
      </c>
      <c r="M1135" t="b">
        <f>VLOOKUP(D1135,Products!$A:$F,6,FALSE)</f>
        <v>1</v>
      </c>
      <c r="N1135">
        <f>VLOOKUP(D1135,Products!$A:$F,4,FALSE)</f>
        <v>329</v>
      </c>
      <c r="O1135" t="str">
        <f>VLOOKUP(C1135,Customers!$A:$F,5,FALSE)</f>
        <v>SMB</v>
      </c>
      <c r="P1135">
        <f>VLOOKUP(C1135,Customers!$A:$F,3,FALSE)</f>
        <v>28</v>
      </c>
      <c r="Q1135" t="str">
        <f>VLOOKUP(E1135,Sales_Reps!$A:$E,3,FALSE)</f>
        <v>South</v>
      </c>
      <c r="R1135" t="str">
        <f>VLOOKUP(E1135,Sales_Reps!$A:$E,2,FALSE)</f>
        <v>Manoj Patel</v>
      </c>
      <c r="S1135">
        <f t="shared" si="17"/>
        <v>0.50151515151515147</v>
      </c>
    </row>
    <row r="1136" spans="1:19" x14ac:dyDescent="0.3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  <c r="L1136" t="str">
        <f>VLOOKUP(D1136,Products!$A:$F,3,FALSE)</f>
        <v>Electronics</v>
      </c>
      <c r="M1136" t="b">
        <f>VLOOKUP(D1136,Products!$A:$F,6,FALSE)</f>
        <v>1</v>
      </c>
      <c r="N1136">
        <f>VLOOKUP(D1136,Products!$A:$F,4,FALSE)</f>
        <v>2405</v>
      </c>
      <c r="O1136" t="str">
        <f>VLOOKUP(C1136,Customers!$A:$F,5,FALSE)</f>
        <v>SMB</v>
      </c>
      <c r="P1136">
        <f>VLOOKUP(C1136,Customers!$A:$F,3,FALSE)</f>
        <v>43</v>
      </c>
      <c r="Q1136" t="str">
        <f>VLOOKUP(E1136,Sales_Reps!$A:$E,3,FALSE)</f>
        <v>South</v>
      </c>
      <c r="R1136" t="str">
        <f>VLOOKUP(E1136,Sales_Reps!$A:$E,2,FALSE)</f>
        <v>Anjali Chopra</v>
      </c>
      <c r="S1136">
        <f t="shared" si="17"/>
        <v>0.54878048780487809</v>
      </c>
    </row>
    <row r="1137" spans="1:19" x14ac:dyDescent="0.3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  <c r="L1137" t="str">
        <f>VLOOKUP(D1137,Products!$A:$F,3,FALSE)</f>
        <v>Electronics</v>
      </c>
      <c r="M1137" t="b">
        <f>VLOOKUP(D1137,Products!$A:$F,6,FALSE)</f>
        <v>1</v>
      </c>
      <c r="N1137">
        <f>VLOOKUP(D1137,Products!$A:$F,4,FALSE)</f>
        <v>1052</v>
      </c>
      <c r="O1137" t="str">
        <f>VLOOKUP(C1137,Customers!$A:$F,5,FALSE)</f>
        <v>Corporate</v>
      </c>
      <c r="P1137">
        <f>VLOOKUP(C1137,Customers!$A:$F,3,FALSE)</f>
        <v>30</v>
      </c>
      <c r="Q1137" t="str">
        <f>VLOOKUP(E1137,Sales_Reps!$A:$E,3,FALSE)</f>
        <v>North</v>
      </c>
      <c r="R1137" t="str">
        <f>VLOOKUP(E1137,Sales_Reps!$A:$E,2,FALSE)</f>
        <v>Suresh Menon</v>
      </c>
      <c r="S1137">
        <f t="shared" si="17"/>
        <v>0.5953846153846154</v>
      </c>
    </row>
    <row r="1138" spans="1:19" x14ac:dyDescent="0.3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  <c r="L1138" t="str">
        <f>VLOOKUP(D1138,Products!$A:$F,3,FALSE)</f>
        <v>Home</v>
      </c>
      <c r="M1138" t="b">
        <f>VLOOKUP(D1138,Products!$A:$F,6,FALSE)</f>
        <v>1</v>
      </c>
      <c r="N1138">
        <f>VLOOKUP(D1138,Products!$A:$F,4,FALSE)</f>
        <v>2459</v>
      </c>
      <c r="O1138" t="str">
        <f>VLOOKUP(C1138,Customers!$A:$F,5,FALSE)</f>
        <v>Retail</v>
      </c>
      <c r="P1138">
        <f>VLOOKUP(C1138,Customers!$A:$F,3,FALSE)</f>
        <v>53</v>
      </c>
      <c r="Q1138" t="str">
        <f>VLOOKUP(E1138,Sales_Reps!$A:$E,3,FALSE)</f>
        <v>East</v>
      </c>
      <c r="R1138" t="str">
        <f>VLOOKUP(E1138,Sales_Reps!$A:$E,2,FALSE)</f>
        <v>Shalini Patel</v>
      </c>
      <c r="S1138">
        <f t="shared" si="17"/>
        <v>0.51594488188976373</v>
      </c>
    </row>
    <row r="1139" spans="1:19" x14ac:dyDescent="0.3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  <c r="L1139" t="str">
        <f>VLOOKUP(D1139,Products!$A:$F,3,FALSE)</f>
        <v>Grocery</v>
      </c>
      <c r="M1139" t="b">
        <f>VLOOKUP(D1139,Products!$A:$F,6,FALSE)</f>
        <v>1</v>
      </c>
      <c r="N1139">
        <f>VLOOKUP(D1139,Products!$A:$F,4,FALSE)</f>
        <v>1182</v>
      </c>
      <c r="O1139" t="str">
        <f>VLOOKUP(C1139,Customers!$A:$F,5,FALSE)</f>
        <v>Retail</v>
      </c>
      <c r="P1139">
        <f>VLOOKUP(C1139,Customers!$A:$F,3,FALSE)</f>
        <v>44</v>
      </c>
      <c r="Q1139" t="str">
        <f>VLOOKUP(E1139,Sales_Reps!$A:$E,3,FALSE)</f>
        <v>North</v>
      </c>
      <c r="R1139" t="str">
        <f>VLOOKUP(E1139,Sales_Reps!$A:$E,2,FALSE)</f>
        <v>Sunita Malhotra</v>
      </c>
      <c r="S1139">
        <f t="shared" si="17"/>
        <v>0.50336134453781511</v>
      </c>
    </row>
    <row r="1140" spans="1:19" x14ac:dyDescent="0.3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  <c r="L1140" t="str">
        <f>VLOOKUP(D1140,Products!$A:$F,3,FALSE)</f>
        <v>Beauty</v>
      </c>
      <c r="M1140" t="b">
        <f>VLOOKUP(D1140,Products!$A:$F,6,FALSE)</f>
        <v>1</v>
      </c>
      <c r="N1140">
        <f>VLOOKUP(D1140,Products!$A:$F,4,FALSE)</f>
        <v>2768</v>
      </c>
      <c r="O1140" t="str">
        <f>VLOOKUP(C1140,Customers!$A:$F,5,FALSE)</f>
        <v>Retail</v>
      </c>
      <c r="P1140">
        <f>VLOOKUP(C1140,Customers!$A:$F,3,FALSE)</f>
        <v>34</v>
      </c>
      <c r="Q1140" t="str">
        <f>VLOOKUP(E1140,Sales_Reps!$A:$E,3,FALSE)</f>
        <v>North</v>
      </c>
      <c r="R1140" t="str">
        <f>VLOOKUP(E1140,Sales_Reps!$A:$E,2,FALSE)</f>
        <v>Neha Desai</v>
      </c>
      <c r="S1140">
        <f t="shared" si="17"/>
        <v>0.43278688524590164</v>
      </c>
    </row>
    <row r="1141" spans="1:19" x14ac:dyDescent="0.3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  <c r="L1141" t="str">
        <f>VLOOKUP(D1141,Products!$A:$F,3,FALSE)</f>
        <v>Beauty</v>
      </c>
      <c r="M1141" t="b">
        <f>VLOOKUP(D1141,Products!$A:$F,6,FALSE)</f>
        <v>1</v>
      </c>
      <c r="N1141">
        <f>VLOOKUP(D1141,Products!$A:$F,4,FALSE)</f>
        <v>1728</v>
      </c>
      <c r="O1141" t="str">
        <f>VLOOKUP(C1141,Customers!$A:$F,5,FALSE)</f>
        <v>SMB</v>
      </c>
      <c r="P1141">
        <f>VLOOKUP(C1141,Customers!$A:$F,3,FALSE)</f>
        <v>26</v>
      </c>
      <c r="Q1141" t="str">
        <f>VLOOKUP(E1141,Sales_Reps!$A:$E,3,FALSE)</f>
        <v>South</v>
      </c>
      <c r="R1141" t="str">
        <f>VLOOKUP(E1141,Sales_Reps!$A:$E,2,FALSE)</f>
        <v>Manoj Patel</v>
      </c>
      <c r="S1141">
        <f t="shared" si="17"/>
        <v>0.48417910447761192</v>
      </c>
    </row>
    <row r="1142" spans="1:19" x14ac:dyDescent="0.3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  <c r="L1142" t="str">
        <f>VLOOKUP(D1142,Products!$A:$F,3,FALSE)</f>
        <v>Grocery</v>
      </c>
      <c r="M1142" t="b">
        <f>VLOOKUP(D1142,Products!$A:$F,6,FALSE)</f>
        <v>1</v>
      </c>
      <c r="N1142">
        <f>VLOOKUP(D1142,Products!$A:$F,4,FALSE)</f>
        <v>434</v>
      </c>
      <c r="O1142" t="str">
        <f>VLOOKUP(C1142,Customers!$A:$F,5,FALSE)</f>
        <v>Retail</v>
      </c>
      <c r="P1142">
        <f>VLOOKUP(C1142,Customers!$A:$F,3,FALSE)</f>
        <v>35</v>
      </c>
      <c r="Q1142" t="str">
        <f>VLOOKUP(E1142,Sales_Reps!$A:$E,3,FALSE)</f>
        <v>West</v>
      </c>
      <c r="R1142" t="str">
        <f>VLOOKUP(E1142,Sales_Reps!$A:$E,2,FALSE)</f>
        <v>Rekha Chopra</v>
      </c>
      <c r="S1142">
        <f t="shared" si="17"/>
        <v>0.5525773195876289</v>
      </c>
    </row>
    <row r="1143" spans="1:19" x14ac:dyDescent="0.3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  <c r="L1143" t="str">
        <f>VLOOKUP(D1143,Products!$A:$F,3,FALSE)</f>
        <v>Electronics</v>
      </c>
      <c r="M1143" t="b">
        <f>VLOOKUP(D1143,Products!$A:$F,6,FALSE)</f>
        <v>1</v>
      </c>
      <c r="N1143">
        <f>VLOOKUP(D1143,Products!$A:$F,4,FALSE)</f>
        <v>128</v>
      </c>
      <c r="O1143" t="str">
        <f>VLOOKUP(C1143,Customers!$A:$F,5,FALSE)</f>
        <v>SMB</v>
      </c>
      <c r="P1143">
        <f>VLOOKUP(C1143,Customers!$A:$F,3,FALSE)</f>
        <v>57</v>
      </c>
      <c r="Q1143" t="str">
        <f>VLOOKUP(E1143,Sales_Reps!$A:$E,3,FALSE)</f>
        <v>East</v>
      </c>
      <c r="R1143" t="str">
        <f>VLOOKUP(E1143,Sales_Reps!$A:$E,2,FALSE)</f>
        <v>Nisha Menon</v>
      </c>
      <c r="S1143">
        <f t="shared" si="17"/>
        <v>0.57333333333333336</v>
      </c>
    </row>
    <row r="1144" spans="1:19" x14ac:dyDescent="0.3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  <c r="L1144" t="str">
        <f>VLOOKUP(D1144,Products!$A:$F,3,FALSE)</f>
        <v>Electronics</v>
      </c>
      <c r="M1144" t="b">
        <f>VLOOKUP(D1144,Products!$A:$F,6,FALSE)</f>
        <v>1</v>
      </c>
      <c r="N1144">
        <f>VLOOKUP(D1144,Products!$A:$F,4,FALSE)</f>
        <v>2865</v>
      </c>
      <c r="O1144" t="str">
        <f>VLOOKUP(C1144,Customers!$A:$F,5,FALSE)</f>
        <v>Retail</v>
      </c>
      <c r="P1144">
        <f>VLOOKUP(C1144,Customers!$A:$F,3,FALSE)</f>
        <v>62</v>
      </c>
      <c r="Q1144" t="str">
        <f>VLOOKUP(E1144,Sales_Reps!$A:$E,3,FALSE)</f>
        <v>North</v>
      </c>
      <c r="R1144" t="str">
        <f>VLOOKUP(E1144,Sales_Reps!$A:$E,2,FALSE)</f>
        <v>Vikram Patel</v>
      </c>
      <c r="S1144">
        <f t="shared" si="17"/>
        <v>0.27833753148614609</v>
      </c>
    </row>
    <row r="1145" spans="1:19" x14ac:dyDescent="0.3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  <c r="L1145" t="str">
        <f>VLOOKUP(D1145,Products!$A:$F,3,FALSE)</f>
        <v>Apparel</v>
      </c>
      <c r="M1145" t="b">
        <f>VLOOKUP(D1145,Products!$A:$F,6,FALSE)</f>
        <v>1</v>
      </c>
      <c r="N1145">
        <f>VLOOKUP(D1145,Products!$A:$F,4,FALSE)</f>
        <v>1962</v>
      </c>
      <c r="O1145" t="str">
        <f>VLOOKUP(C1145,Customers!$A:$F,5,FALSE)</f>
        <v>Corporate</v>
      </c>
      <c r="P1145">
        <f>VLOOKUP(C1145,Customers!$A:$F,3,FALSE)</f>
        <v>46</v>
      </c>
      <c r="Q1145" t="str">
        <f>VLOOKUP(E1145,Sales_Reps!$A:$E,3,FALSE)</f>
        <v>South</v>
      </c>
      <c r="R1145" t="str">
        <f>VLOOKUP(E1145,Sales_Reps!$A:$E,2,FALSE)</f>
        <v>Sanjay Kapoor</v>
      </c>
      <c r="S1145">
        <f t="shared" si="17"/>
        <v>0.2786764705882353</v>
      </c>
    </row>
    <row r="1146" spans="1:19" x14ac:dyDescent="0.3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  <c r="L1146" t="str">
        <f>VLOOKUP(D1146,Products!$A:$F,3,FALSE)</f>
        <v>Apparel</v>
      </c>
      <c r="M1146" t="b">
        <f>VLOOKUP(D1146,Products!$A:$F,6,FALSE)</f>
        <v>1</v>
      </c>
      <c r="N1146">
        <f>VLOOKUP(D1146,Products!$A:$F,4,FALSE)</f>
        <v>396</v>
      </c>
      <c r="O1146" t="str">
        <f>VLOOKUP(C1146,Customers!$A:$F,5,FALSE)</f>
        <v>Retail</v>
      </c>
      <c r="P1146">
        <f>VLOOKUP(C1146,Customers!$A:$F,3,FALSE)</f>
        <v>44</v>
      </c>
      <c r="Q1146" t="str">
        <f>VLOOKUP(E1146,Sales_Reps!$A:$E,3,FALSE)</f>
        <v>East</v>
      </c>
      <c r="R1146" t="str">
        <f>VLOOKUP(E1146,Sales_Reps!$A:$E,2,FALSE)</f>
        <v>Gaurav Desai</v>
      </c>
      <c r="S1146">
        <f t="shared" si="17"/>
        <v>0.36129032258064514</v>
      </c>
    </row>
    <row r="1147" spans="1:19" x14ac:dyDescent="0.3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  <c r="L1147" t="str">
        <f>VLOOKUP(D1147,Products!$A:$F,3,FALSE)</f>
        <v>Beauty</v>
      </c>
      <c r="M1147" t="b">
        <f>VLOOKUP(D1147,Products!$A:$F,6,FALSE)</f>
        <v>0</v>
      </c>
      <c r="N1147">
        <f>VLOOKUP(D1147,Products!$A:$F,4,FALSE)</f>
        <v>647</v>
      </c>
      <c r="O1147" t="str">
        <f>VLOOKUP(C1147,Customers!$A:$F,5,FALSE)</f>
        <v>Corporate</v>
      </c>
      <c r="P1147">
        <f>VLOOKUP(C1147,Customers!$A:$F,3,FALSE)</f>
        <v>55</v>
      </c>
      <c r="Q1147" t="str">
        <f>VLOOKUP(E1147,Sales_Reps!$A:$E,3,FALSE)</f>
        <v>West</v>
      </c>
      <c r="R1147" t="str">
        <f>VLOOKUP(E1147,Sales_Reps!$A:$E,2,FALSE)</f>
        <v>Rekha Chopra</v>
      </c>
      <c r="S1147">
        <f t="shared" si="17"/>
        <v>0.57987012987012987</v>
      </c>
    </row>
    <row r="1148" spans="1:19" x14ac:dyDescent="0.3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  <c r="L1148" t="str">
        <f>VLOOKUP(D1148,Products!$A:$F,3,FALSE)</f>
        <v>Beauty</v>
      </c>
      <c r="M1148" t="b">
        <f>VLOOKUP(D1148,Products!$A:$F,6,FALSE)</f>
        <v>1</v>
      </c>
      <c r="N1148">
        <f>VLOOKUP(D1148,Products!$A:$F,4,FALSE)</f>
        <v>1219</v>
      </c>
      <c r="O1148" t="str">
        <f>VLOOKUP(C1148,Customers!$A:$F,5,FALSE)</f>
        <v>Retail</v>
      </c>
      <c r="P1148">
        <f>VLOOKUP(C1148,Customers!$A:$F,3,FALSE)</f>
        <v>46</v>
      </c>
      <c r="Q1148" t="str">
        <f>VLOOKUP(E1148,Sales_Reps!$A:$E,3,FALSE)</f>
        <v>West</v>
      </c>
      <c r="R1148" t="str">
        <f>VLOOKUP(E1148,Sales_Reps!$A:$E,2,FALSE)</f>
        <v>Sonia Malhotra</v>
      </c>
      <c r="S1148">
        <f t="shared" si="17"/>
        <v>0.46768558951965067</v>
      </c>
    </row>
    <row r="1149" spans="1:19" x14ac:dyDescent="0.3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  <c r="L1149" t="str">
        <f>VLOOKUP(D1149,Products!$A:$F,3,FALSE)</f>
        <v>Apparel</v>
      </c>
      <c r="M1149" t="b">
        <f>VLOOKUP(D1149,Products!$A:$F,6,FALSE)</f>
        <v>1</v>
      </c>
      <c r="N1149">
        <f>VLOOKUP(D1149,Products!$A:$F,4,FALSE)</f>
        <v>1962</v>
      </c>
      <c r="O1149" t="str">
        <f>VLOOKUP(C1149,Customers!$A:$F,5,FALSE)</f>
        <v>SMB</v>
      </c>
      <c r="P1149">
        <f>VLOOKUP(C1149,Customers!$A:$F,3,FALSE)</f>
        <v>26</v>
      </c>
      <c r="Q1149" t="str">
        <f>VLOOKUP(E1149,Sales_Reps!$A:$E,3,FALSE)</f>
        <v>East</v>
      </c>
      <c r="R1149" t="str">
        <f>VLOOKUP(E1149,Sales_Reps!$A:$E,2,FALSE)</f>
        <v>Shalini Patel</v>
      </c>
      <c r="S1149">
        <f t="shared" si="17"/>
        <v>0.2786764705882353</v>
      </c>
    </row>
    <row r="1150" spans="1:19" x14ac:dyDescent="0.3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  <c r="L1150" t="str">
        <f>VLOOKUP(D1150,Products!$A:$F,3,FALSE)</f>
        <v>Grocery</v>
      </c>
      <c r="M1150" t="b">
        <f>VLOOKUP(D1150,Products!$A:$F,6,FALSE)</f>
        <v>1</v>
      </c>
      <c r="N1150">
        <f>VLOOKUP(D1150,Products!$A:$F,4,FALSE)</f>
        <v>2911</v>
      </c>
      <c r="O1150" t="str">
        <f>VLOOKUP(C1150,Customers!$A:$F,5,FALSE)</f>
        <v>Corporate</v>
      </c>
      <c r="P1150">
        <f>VLOOKUP(C1150,Customers!$A:$F,3,FALSE)</f>
        <v>25</v>
      </c>
      <c r="Q1150" t="str">
        <f>VLOOKUP(E1150,Sales_Reps!$A:$E,3,FALSE)</f>
        <v>East</v>
      </c>
      <c r="R1150" t="str">
        <f>VLOOKUP(E1150,Sales_Reps!$A:$E,2,FALSE)</f>
        <v>Vinod Kumar</v>
      </c>
      <c r="S1150">
        <f t="shared" si="17"/>
        <v>0.28300492610837441</v>
      </c>
    </row>
    <row r="1151" spans="1:19" x14ac:dyDescent="0.3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  <c r="L1151" t="str">
        <f>VLOOKUP(D1151,Products!$A:$F,3,FALSE)</f>
        <v>Electronics</v>
      </c>
      <c r="M1151" t="b">
        <f>VLOOKUP(D1151,Products!$A:$F,6,FALSE)</f>
        <v>1</v>
      </c>
      <c r="N1151">
        <f>VLOOKUP(D1151,Products!$A:$F,4,FALSE)</f>
        <v>1665</v>
      </c>
      <c r="O1151" t="str">
        <f>VLOOKUP(C1151,Customers!$A:$F,5,FALSE)</f>
        <v>Retail</v>
      </c>
      <c r="P1151">
        <f>VLOOKUP(C1151,Customers!$A:$F,3,FALSE)</f>
        <v>26</v>
      </c>
      <c r="Q1151" t="str">
        <f>VLOOKUP(E1151,Sales_Reps!$A:$E,3,FALSE)</f>
        <v>South</v>
      </c>
      <c r="R1151" t="str">
        <f>VLOOKUP(E1151,Sales_Reps!$A:$E,2,FALSE)</f>
        <v>Anjali Chopra</v>
      </c>
      <c r="S1151">
        <f t="shared" si="17"/>
        <v>0.53361344537815125</v>
      </c>
    </row>
    <row r="1152" spans="1:19" x14ac:dyDescent="0.3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  <c r="L1152" t="str">
        <f>VLOOKUP(D1152,Products!$A:$F,3,FALSE)</f>
        <v>Sports</v>
      </c>
      <c r="M1152" t="b">
        <f>VLOOKUP(D1152,Products!$A:$F,6,FALSE)</f>
        <v>1</v>
      </c>
      <c r="N1152">
        <f>VLOOKUP(D1152,Products!$A:$F,4,FALSE)</f>
        <v>2467</v>
      </c>
      <c r="O1152" t="str">
        <f>VLOOKUP(C1152,Customers!$A:$F,5,FALSE)</f>
        <v>Retail</v>
      </c>
      <c r="P1152">
        <f>VLOOKUP(C1152,Customers!$A:$F,3,FALSE)</f>
        <v>55</v>
      </c>
      <c r="Q1152" t="str">
        <f>VLOOKUP(E1152,Sales_Reps!$A:$E,3,FALSE)</f>
        <v>North</v>
      </c>
      <c r="R1152" t="str">
        <f>VLOOKUP(E1152,Sales_Reps!$A:$E,2,FALSE)</f>
        <v>Priya Singh</v>
      </c>
      <c r="S1152">
        <f t="shared" si="17"/>
        <v>0.28492753623188405</v>
      </c>
    </row>
    <row r="1153" spans="1:19" x14ac:dyDescent="0.3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  <c r="L1153" t="str">
        <f>VLOOKUP(D1153,Products!$A:$F,3,FALSE)</f>
        <v>Electronics</v>
      </c>
      <c r="M1153" t="b">
        <f>VLOOKUP(D1153,Products!$A:$F,6,FALSE)</f>
        <v>1</v>
      </c>
      <c r="N1153">
        <f>VLOOKUP(D1153,Products!$A:$F,4,FALSE)</f>
        <v>1149</v>
      </c>
      <c r="O1153" t="str">
        <f>VLOOKUP(C1153,Customers!$A:$F,5,FALSE)</f>
        <v>Retail</v>
      </c>
      <c r="P1153">
        <f>VLOOKUP(C1153,Customers!$A:$F,3,FALSE)</f>
        <v>44</v>
      </c>
      <c r="Q1153" t="str">
        <f>VLOOKUP(E1153,Sales_Reps!$A:$E,3,FALSE)</f>
        <v>North</v>
      </c>
      <c r="R1153" t="str">
        <f>VLOOKUP(E1153,Sales_Reps!$A:$E,2,FALSE)</f>
        <v>Suresh Menon</v>
      </c>
      <c r="S1153">
        <f t="shared" si="17"/>
        <v>0.56477272727272732</v>
      </c>
    </row>
    <row r="1154" spans="1:19" x14ac:dyDescent="0.3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  <c r="L1154" t="str">
        <f>VLOOKUP(D1154,Products!$A:$F,3,FALSE)</f>
        <v>Home</v>
      </c>
      <c r="M1154" t="b">
        <f>VLOOKUP(D1154,Products!$A:$F,6,FALSE)</f>
        <v>1</v>
      </c>
      <c r="N1154">
        <f>VLOOKUP(D1154,Products!$A:$F,4,FALSE)</f>
        <v>288</v>
      </c>
      <c r="O1154" t="str">
        <f>VLOOKUP(C1154,Customers!$A:$F,5,FALSE)</f>
        <v>Retail</v>
      </c>
      <c r="P1154">
        <f>VLOOKUP(C1154,Customers!$A:$F,3,FALSE)</f>
        <v>24</v>
      </c>
      <c r="Q1154" t="str">
        <f>VLOOKUP(E1154,Sales_Reps!$A:$E,3,FALSE)</f>
        <v>South</v>
      </c>
      <c r="R1154" t="str">
        <f>VLOOKUP(E1154,Sales_Reps!$A:$E,2,FALSE)</f>
        <v>Manoj Patel</v>
      </c>
      <c r="S1154">
        <f t="shared" si="17"/>
        <v>0.22162162162162163</v>
      </c>
    </row>
    <row r="1155" spans="1:19" x14ac:dyDescent="0.3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  <c r="L1155" t="str">
        <f>VLOOKUP(D1155,Products!$A:$F,3,FALSE)</f>
        <v>Electronics</v>
      </c>
      <c r="M1155" t="b">
        <f>VLOOKUP(D1155,Products!$A:$F,6,FALSE)</f>
        <v>1</v>
      </c>
      <c r="N1155">
        <f>VLOOKUP(D1155,Products!$A:$F,4,FALSE)</f>
        <v>517</v>
      </c>
      <c r="O1155" t="str">
        <f>VLOOKUP(C1155,Customers!$A:$F,5,FALSE)</f>
        <v>Corporate</v>
      </c>
      <c r="P1155">
        <f>VLOOKUP(C1155,Customers!$A:$F,3,FALSE)</f>
        <v>36</v>
      </c>
      <c r="Q1155" t="str">
        <f>VLOOKUP(E1155,Sales_Reps!$A:$E,3,FALSE)</f>
        <v>West</v>
      </c>
      <c r="R1155" t="str">
        <f>VLOOKUP(E1155,Sales_Reps!$A:$E,2,FALSE)</f>
        <v>Kiran Bhatt</v>
      </c>
      <c r="S1155">
        <f t="shared" ref="S1155:S1218" si="18">IFERROR((G1155-N1155)/G1155,"")</f>
        <v>0.57622950819672136</v>
      </c>
    </row>
    <row r="1156" spans="1:19" x14ac:dyDescent="0.3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  <c r="L1156" t="str">
        <f>VLOOKUP(D1156,Products!$A:$F,3,FALSE)</f>
        <v>Electronics</v>
      </c>
      <c r="M1156" t="b">
        <f>VLOOKUP(D1156,Products!$A:$F,6,FALSE)</f>
        <v>1</v>
      </c>
      <c r="N1156">
        <f>VLOOKUP(D1156,Products!$A:$F,4,FALSE)</f>
        <v>1149</v>
      </c>
      <c r="O1156" t="str">
        <f>VLOOKUP(C1156,Customers!$A:$F,5,FALSE)</f>
        <v>Retail</v>
      </c>
      <c r="P1156">
        <f>VLOOKUP(C1156,Customers!$A:$F,3,FALSE)</f>
        <v>29</v>
      </c>
      <c r="Q1156" t="str">
        <f>VLOOKUP(E1156,Sales_Reps!$A:$E,3,FALSE)</f>
        <v>East</v>
      </c>
      <c r="R1156" t="str">
        <f>VLOOKUP(E1156,Sales_Reps!$A:$E,2,FALSE)</f>
        <v>Nisha Menon</v>
      </c>
      <c r="S1156">
        <f t="shared" si="18"/>
        <v>0.56477272727272732</v>
      </c>
    </row>
    <row r="1157" spans="1:19" x14ac:dyDescent="0.3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  <c r="L1157" t="str">
        <f>VLOOKUP(D1157,Products!$A:$F,3,FALSE)</f>
        <v>Beauty</v>
      </c>
      <c r="M1157" t="b">
        <f>VLOOKUP(D1157,Products!$A:$F,6,FALSE)</f>
        <v>1</v>
      </c>
      <c r="N1157">
        <f>VLOOKUP(D1157,Products!$A:$F,4,FALSE)</f>
        <v>2237</v>
      </c>
      <c r="O1157" t="str">
        <f>VLOOKUP(C1157,Customers!$A:$F,5,FALSE)</f>
        <v>Retail</v>
      </c>
      <c r="P1157">
        <f>VLOOKUP(C1157,Customers!$A:$F,3,FALSE)</f>
        <v>36</v>
      </c>
      <c r="Q1157" t="str">
        <f>VLOOKUP(E1157,Sales_Reps!$A:$E,3,FALSE)</f>
        <v>South</v>
      </c>
      <c r="R1157" t="str">
        <f>VLOOKUP(E1157,Sales_Reps!$A:$E,2,FALSE)</f>
        <v>Anil Verma</v>
      </c>
      <c r="S1157">
        <f t="shared" si="18"/>
        <v>0.56137254901960787</v>
      </c>
    </row>
    <row r="1158" spans="1:19" x14ac:dyDescent="0.3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  <c r="L1158" t="str">
        <f>VLOOKUP(D1158,Products!$A:$F,3,FALSE)</f>
        <v>Beauty</v>
      </c>
      <c r="M1158" t="b">
        <f>VLOOKUP(D1158,Products!$A:$F,6,FALSE)</f>
        <v>1</v>
      </c>
      <c r="N1158">
        <f>VLOOKUP(D1158,Products!$A:$F,4,FALSE)</f>
        <v>2617</v>
      </c>
      <c r="O1158" t="str">
        <f>VLOOKUP(C1158,Customers!$A:$F,5,FALSE)</f>
        <v>SMB</v>
      </c>
      <c r="P1158">
        <f>VLOOKUP(C1158,Customers!$A:$F,3,FALSE)</f>
        <v>26</v>
      </c>
      <c r="Q1158" t="str">
        <f>VLOOKUP(E1158,Sales_Reps!$A:$E,3,FALSE)</f>
        <v>North</v>
      </c>
      <c r="R1158" t="str">
        <f>VLOOKUP(E1158,Sales_Reps!$A:$E,2,FALSE)</f>
        <v>Kavita Patel</v>
      </c>
      <c r="S1158">
        <f t="shared" si="18"/>
        <v>0.56957236842105263</v>
      </c>
    </row>
    <row r="1159" spans="1:19" x14ac:dyDescent="0.3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  <c r="L1159" t="str">
        <f>VLOOKUP(D1159,Products!$A:$F,3,FALSE)</f>
        <v>Electronics</v>
      </c>
      <c r="M1159" t="b">
        <f>VLOOKUP(D1159,Products!$A:$F,6,FALSE)</f>
        <v>1</v>
      </c>
      <c r="N1159">
        <f>VLOOKUP(D1159,Products!$A:$F,4,FALSE)</f>
        <v>128</v>
      </c>
      <c r="O1159" t="str">
        <f>VLOOKUP(C1159,Customers!$A:$F,5,FALSE)</f>
        <v>Corporate</v>
      </c>
      <c r="P1159">
        <f>VLOOKUP(C1159,Customers!$A:$F,3,FALSE)</f>
        <v>29</v>
      </c>
      <c r="Q1159" t="str">
        <f>VLOOKUP(E1159,Sales_Reps!$A:$E,3,FALSE)</f>
        <v>West</v>
      </c>
      <c r="R1159" t="str">
        <f>VLOOKUP(E1159,Sales_Reps!$A:$E,2,FALSE)</f>
        <v>Sonia Malhotra</v>
      </c>
      <c r="S1159">
        <f t="shared" si="18"/>
        <v>0.57333333333333336</v>
      </c>
    </row>
    <row r="1160" spans="1:19" x14ac:dyDescent="0.3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  <c r="L1160" t="str">
        <f>VLOOKUP(D1160,Products!$A:$F,3,FALSE)</f>
        <v>Beauty</v>
      </c>
      <c r="M1160" t="b">
        <f>VLOOKUP(D1160,Products!$A:$F,6,FALSE)</f>
        <v>1</v>
      </c>
      <c r="N1160">
        <f>VLOOKUP(D1160,Products!$A:$F,4,FALSE)</f>
        <v>1626</v>
      </c>
      <c r="O1160" t="str">
        <f>VLOOKUP(C1160,Customers!$A:$F,5,FALSE)</f>
        <v>Retail</v>
      </c>
      <c r="P1160">
        <f>VLOOKUP(C1160,Customers!$A:$F,3,FALSE)</f>
        <v>44</v>
      </c>
      <c r="Q1160" t="str">
        <f>VLOOKUP(E1160,Sales_Reps!$A:$E,3,FALSE)</f>
        <v>East</v>
      </c>
      <c r="R1160" t="str">
        <f>VLOOKUP(E1160,Sales_Reps!$A:$E,2,FALSE)</f>
        <v>Meera Iyer</v>
      </c>
      <c r="S1160">
        <f t="shared" si="18"/>
        <v>0.46158940397350995</v>
      </c>
    </row>
    <row r="1161" spans="1:19" x14ac:dyDescent="0.3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  <c r="L1161" t="str">
        <f>VLOOKUP(D1161,Products!$A:$F,3,FALSE)</f>
        <v>Electronics</v>
      </c>
      <c r="M1161" t="b">
        <f>VLOOKUP(D1161,Products!$A:$F,6,FALSE)</f>
        <v>1</v>
      </c>
      <c r="N1161">
        <f>VLOOKUP(D1161,Products!$A:$F,4,FALSE)</f>
        <v>128</v>
      </c>
      <c r="O1161" t="str">
        <f>VLOOKUP(C1161,Customers!$A:$F,5,FALSE)</f>
        <v>SMB</v>
      </c>
      <c r="P1161">
        <f>VLOOKUP(C1161,Customers!$A:$F,3,FALSE)</f>
        <v>50</v>
      </c>
      <c r="Q1161" t="str">
        <f>VLOOKUP(E1161,Sales_Reps!$A:$E,3,FALSE)</f>
        <v>East</v>
      </c>
      <c r="R1161" t="str">
        <f>VLOOKUP(E1161,Sales_Reps!$A:$E,2,FALSE)</f>
        <v>Shalini Patel</v>
      </c>
      <c r="S1161">
        <f t="shared" si="18"/>
        <v>0.57333333333333336</v>
      </c>
    </row>
    <row r="1162" spans="1:19" x14ac:dyDescent="0.3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  <c r="L1162" t="str">
        <f>VLOOKUP(D1162,Products!$A:$F,3,FALSE)</f>
        <v>Beauty</v>
      </c>
      <c r="M1162" t="b">
        <f>VLOOKUP(D1162,Products!$A:$F,6,FALSE)</f>
        <v>1</v>
      </c>
      <c r="N1162">
        <f>VLOOKUP(D1162,Products!$A:$F,4,FALSE)</f>
        <v>1728</v>
      </c>
      <c r="O1162" t="str">
        <f>VLOOKUP(C1162,Customers!$A:$F,5,FALSE)</f>
        <v>Retail</v>
      </c>
      <c r="P1162">
        <f>VLOOKUP(C1162,Customers!$A:$F,3,FALSE)</f>
        <v>37</v>
      </c>
      <c r="Q1162" t="str">
        <f>VLOOKUP(E1162,Sales_Reps!$A:$E,3,FALSE)</f>
        <v>South</v>
      </c>
      <c r="R1162" t="str">
        <f>VLOOKUP(E1162,Sales_Reps!$A:$E,2,FALSE)</f>
        <v>Anil Verma</v>
      </c>
      <c r="S1162">
        <f t="shared" si="18"/>
        <v>0.48417910447761192</v>
      </c>
    </row>
    <row r="1163" spans="1:19" x14ac:dyDescent="0.3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  <c r="L1163" t="str">
        <f>VLOOKUP(D1163,Products!$A:$F,3,FALSE)</f>
        <v>Grocery</v>
      </c>
      <c r="M1163" t="b">
        <f>VLOOKUP(D1163,Products!$A:$F,6,FALSE)</f>
        <v>1</v>
      </c>
      <c r="N1163">
        <f>VLOOKUP(D1163,Products!$A:$F,4,FALSE)</f>
        <v>2027</v>
      </c>
      <c r="O1163" t="str">
        <f>VLOOKUP(C1163,Customers!$A:$F,5,FALSE)</f>
        <v>SMB</v>
      </c>
      <c r="P1163">
        <f>VLOOKUP(C1163,Customers!$A:$F,3,FALSE)</f>
        <v>45</v>
      </c>
      <c r="Q1163" t="str">
        <f>VLOOKUP(E1163,Sales_Reps!$A:$E,3,FALSE)</f>
        <v>West</v>
      </c>
      <c r="R1163" t="str">
        <f>VLOOKUP(E1163,Sales_Reps!$A:$E,2,FALSE)</f>
        <v>Rekha Chopra</v>
      </c>
      <c r="S1163">
        <f t="shared" si="18"/>
        <v>0.50196560196560192</v>
      </c>
    </row>
    <row r="1164" spans="1:19" x14ac:dyDescent="0.3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  <c r="L1164" t="str">
        <f>VLOOKUP(D1164,Products!$A:$F,3,FALSE)</f>
        <v>Sports</v>
      </c>
      <c r="M1164" t="b">
        <f>VLOOKUP(D1164,Products!$A:$F,6,FALSE)</f>
        <v>1</v>
      </c>
      <c r="N1164">
        <f>VLOOKUP(D1164,Products!$A:$F,4,FALSE)</f>
        <v>1860</v>
      </c>
      <c r="O1164" t="str">
        <f>VLOOKUP(C1164,Customers!$A:$F,5,FALSE)</f>
        <v>SMB</v>
      </c>
      <c r="P1164">
        <f>VLOOKUP(C1164,Customers!$A:$F,3,FALSE)</f>
        <v>51</v>
      </c>
      <c r="Q1164" t="str">
        <f>VLOOKUP(E1164,Sales_Reps!$A:$E,3,FALSE)</f>
        <v>West</v>
      </c>
      <c r="R1164" t="str">
        <f>VLOOKUP(E1164,Sales_Reps!$A:$E,2,FALSE)</f>
        <v>Rekha Chopra</v>
      </c>
      <c r="S1164">
        <f t="shared" si="18"/>
        <v>0.50793650793650791</v>
      </c>
    </row>
    <row r="1165" spans="1:19" x14ac:dyDescent="0.3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  <c r="L1165" t="str">
        <f>VLOOKUP(D1165,Products!$A:$F,3,FALSE)</f>
        <v>Home</v>
      </c>
      <c r="M1165" t="b">
        <f>VLOOKUP(D1165,Products!$A:$F,6,FALSE)</f>
        <v>1</v>
      </c>
      <c r="N1165">
        <f>VLOOKUP(D1165,Products!$A:$F,4,FALSE)</f>
        <v>519</v>
      </c>
      <c r="O1165" t="str">
        <f>VLOOKUP(C1165,Customers!$A:$F,5,FALSE)</f>
        <v>SMB</v>
      </c>
      <c r="P1165">
        <f>VLOOKUP(C1165,Customers!$A:$F,3,FALSE)</f>
        <v>44</v>
      </c>
      <c r="Q1165" t="str">
        <f>VLOOKUP(E1165,Sales_Reps!$A:$E,3,FALSE)</f>
        <v>West</v>
      </c>
      <c r="R1165" t="str">
        <f>VLOOKUP(E1165,Sales_Reps!$A:$E,2,FALSE)</f>
        <v>Kiran Bhatt</v>
      </c>
      <c r="S1165">
        <f t="shared" si="18"/>
        <v>0.51944444444444449</v>
      </c>
    </row>
    <row r="1166" spans="1:19" x14ac:dyDescent="0.3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  <c r="L1166" t="str">
        <f>VLOOKUP(D1166,Products!$A:$F,3,FALSE)</f>
        <v>Electronics</v>
      </c>
      <c r="M1166" t="b">
        <f>VLOOKUP(D1166,Products!$A:$F,6,FALSE)</f>
        <v>1</v>
      </c>
      <c r="N1166">
        <f>VLOOKUP(D1166,Products!$A:$F,4,FALSE)</f>
        <v>1052</v>
      </c>
      <c r="O1166" t="str">
        <f>VLOOKUP(C1166,Customers!$A:$F,5,FALSE)</f>
        <v>Retail</v>
      </c>
      <c r="P1166">
        <f>VLOOKUP(C1166,Customers!$A:$F,3,FALSE)</f>
        <v>55</v>
      </c>
      <c r="Q1166" t="str">
        <f>VLOOKUP(E1166,Sales_Reps!$A:$E,3,FALSE)</f>
        <v>East</v>
      </c>
      <c r="R1166" t="str">
        <f>VLOOKUP(E1166,Sales_Reps!$A:$E,2,FALSE)</f>
        <v>Vinod Kumar</v>
      </c>
      <c r="S1166">
        <f t="shared" si="18"/>
        <v>0.5953846153846154</v>
      </c>
    </row>
    <row r="1167" spans="1:19" x14ac:dyDescent="0.3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  <c r="L1167" t="str">
        <f>VLOOKUP(D1167,Products!$A:$F,3,FALSE)</f>
        <v>Apparel</v>
      </c>
      <c r="M1167" t="b">
        <f>VLOOKUP(D1167,Products!$A:$F,6,FALSE)</f>
        <v>1</v>
      </c>
      <c r="N1167">
        <f>VLOOKUP(D1167,Products!$A:$F,4,FALSE)</f>
        <v>1962</v>
      </c>
      <c r="O1167" t="str">
        <f>VLOOKUP(C1167,Customers!$A:$F,5,FALSE)</f>
        <v>Retail</v>
      </c>
      <c r="P1167">
        <f>VLOOKUP(C1167,Customers!$A:$F,3,FALSE)</f>
        <v>63</v>
      </c>
      <c r="Q1167" t="str">
        <f>VLOOKUP(E1167,Sales_Reps!$A:$E,3,FALSE)</f>
        <v>North</v>
      </c>
      <c r="R1167" t="str">
        <f>VLOOKUP(E1167,Sales_Reps!$A:$E,2,FALSE)</f>
        <v>Kavita Patel</v>
      </c>
      <c r="S1167">
        <f t="shared" si="18"/>
        <v>0.2786764705882353</v>
      </c>
    </row>
    <row r="1168" spans="1:19" x14ac:dyDescent="0.3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  <c r="L1168" t="str">
        <f>VLOOKUP(D1168,Products!$A:$F,3,FALSE)</f>
        <v>Grocery</v>
      </c>
      <c r="M1168" t="b">
        <f>VLOOKUP(D1168,Products!$A:$F,6,FALSE)</f>
        <v>0</v>
      </c>
      <c r="N1168">
        <f>VLOOKUP(D1168,Products!$A:$F,4,FALSE)</f>
        <v>2214</v>
      </c>
      <c r="O1168" t="str">
        <f>VLOOKUP(C1168,Customers!$A:$F,5,FALSE)</f>
        <v>SMB</v>
      </c>
      <c r="P1168">
        <f>VLOOKUP(C1168,Customers!$A:$F,3,FALSE)</f>
        <v>53</v>
      </c>
      <c r="Q1168" t="str">
        <f>VLOOKUP(E1168,Sales_Reps!$A:$E,3,FALSE)</f>
        <v>South</v>
      </c>
      <c r="R1168" t="str">
        <f>VLOOKUP(E1168,Sales_Reps!$A:$E,2,FALSE)</f>
        <v>Pooja Nair</v>
      </c>
      <c r="S1168">
        <f t="shared" si="18"/>
        <v>0.39508196721311473</v>
      </c>
    </row>
    <row r="1169" spans="1:19" x14ac:dyDescent="0.3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  <c r="L1169" t="str">
        <f>VLOOKUP(D1169,Products!$A:$F,3,FALSE)</f>
        <v>Beauty</v>
      </c>
      <c r="M1169" t="b">
        <f>VLOOKUP(D1169,Products!$A:$F,6,FALSE)</f>
        <v>1</v>
      </c>
      <c r="N1169">
        <f>VLOOKUP(D1169,Products!$A:$F,4,FALSE)</f>
        <v>1222</v>
      </c>
      <c r="O1169" t="str">
        <f>VLOOKUP(C1169,Customers!$A:$F,5,FALSE)</f>
        <v>Retail</v>
      </c>
      <c r="P1169">
        <f>VLOOKUP(C1169,Customers!$A:$F,3,FALSE)</f>
        <v>23</v>
      </c>
      <c r="Q1169" t="str">
        <f>VLOOKUP(E1169,Sales_Reps!$A:$E,3,FALSE)</f>
        <v>North</v>
      </c>
      <c r="R1169" t="str">
        <f>VLOOKUP(E1169,Sales_Reps!$A:$E,2,FALSE)</f>
        <v>Vikram Patel</v>
      </c>
      <c r="S1169">
        <f t="shared" si="18"/>
        <v>0.2593939393939394</v>
      </c>
    </row>
    <row r="1170" spans="1:19" x14ac:dyDescent="0.3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  <c r="L1170" t="str">
        <f>VLOOKUP(D1170,Products!$A:$F,3,FALSE)</f>
        <v>Sports</v>
      </c>
      <c r="M1170" t="b">
        <f>VLOOKUP(D1170,Products!$A:$F,6,FALSE)</f>
        <v>1</v>
      </c>
      <c r="N1170">
        <f>VLOOKUP(D1170,Products!$A:$F,4,FALSE)</f>
        <v>2028</v>
      </c>
      <c r="O1170" t="str">
        <f>VLOOKUP(C1170,Customers!$A:$F,5,FALSE)</f>
        <v>SMB</v>
      </c>
      <c r="P1170">
        <f>VLOOKUP(C1170,Customers!$A:$F,3,FALSE)</f>
        <v>65</v>
      </c>
      <c r="Q1170" t="str">
        <f>VLOOKUP(E1170,Sales_Reps!$A:$E,3,FALSE)</f>
        <v>East</v>
      </c>
      <c r="R1170" t="str">
        <f>VLOOKUP(E1170,Sales_Reps!$A:$E,2,FALSE)</f>
        <v>Prakash Shah</v>
      </c>
      <c r="S1170">
        <f t="shared" si="18"/>
        <v>0.29090909090909089</v>
      </c>
    </row>
    <row r="1171" spans="1:19" x14ac:dyDescent="0.3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  <c r="L1171" t="str">
        <f>VLOOKUP(D1171,Products!$A:$F,3,FALSE)</f>
        <v>Sports</v>
      </c>
      <c r="M1171" t="b">
        <f>VLOOKUP(D1171,Products!$A:$F,6,FALSE)</f>
        <v>1</v>
      </c>
      <c r="N1171">
        <f>VLOOKUP(D1171,Products!$A:$F,4,FALSE)</f>
        <v>2467</v>
      </c>
      <c r="O1171" t="str">
        <f>VLOOKUP(C1171,Customers!$A:$F,5,FALSE)</f>
        <v>Retail</v>
      </c>
      <c r="P1171">
        <f>VLOOKUP(C1171,Customers!$A:$F,3,FALSE)</f>
        <v>41</v>
      </c>
      <c r="Q1171" t="str">
        <f>VLOOKUP(E1171,Sales_Reps!$A:$E,3,FALSE)</f>
        <v>West</v>
      </c>
      <c r="R1171" t="str">
        <f>VLOOKUP(E1171,Sales_Reps!$A:$E,2,FALSE)</f>
        <v>Ashok Reddy</v>
      </c>
      <c r="S1171">
        <f t="shared" si="18"/>
        <v>0.28492753623188405</v>
      </c>
    </row>
    <row r="1172" spans="1:19" x14ac:dyDescent="0.3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  <c r="L1172" t="str">
        <f>VLOOKUP(D1172,Products!$A:$F,3,FALSE)</f>
        <v>Home</v>
      </c>
      <c r="M1172" t="b">
        <f>VLOOKUP(D1172,Products!$A:$F,6,FALSE)</f>
        <v>1</v>
      </c>
      <c r="N1172">
        <f>VLOOKUP(D1172,Products!$A:$F,4,FALSE)</f>
        <v>1143</v>
      </c>
      <c r="O1172" t="str">
        <f>VLOOKUP(C1172,Customers!$A:$F,5,FALSE)</f>
        <v>Retail</v>
      </c>
      <c r="P1172">
        <f>VLOOKUP(C1172,Customers!$A:$F,3,FALSE)</f>
        <v>44</v>
      </c>
      <c r="Q1172" t="str">
        <f>VLOOKUP(E1172,Sales_Reps!$A:$E,3,FALSE)</f>
        <v>North</v>
      </c>
      <c r="R1172" t="str">
        <f>VLOOKUP(E1172,Sales_Reps!$A:$E,2,FALSE)</f>
        <v>Amit Singh</v>
      </c>
      <c r="S1172">
        <f t="shared" si="18"/>
        <v>0.43694581280788175</v>
      </c>
    </row>
    <row r="1173" spans="1:19" x14ac:dyDescent="0.3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  <c r="L1173" t="str">
        <f>VLOOKUP(D1173,Products!$A:$F,3,FALSE)</f>
        <v>Grocery</v>
      </c>
      <c r="M1173" t="b">
        <f>VLOOKUP(D1173,Products!$A:$F,6,FALSE)</f>
        <v>1</v>
      </c>
      <c r="N1173">
        <f>VLOOKUP(D1173,Products!$A:$F,4,FALSE)</f>
        <v>1412</v>
      </c>
      <c r="O1173" t="str">
        <f>VLOOKUP(C1173,Customers!$A:$F,5,FALSE)</f>
        <v>Retail</v>
      </c>
      <c r="P1173">
        <f>VLOOKUP(C1173,Customers!$A:$F,3,FALSE)</f>
        <v>22</v>
      </c>
      <c r="Q1173" t="str">
        <f>VLOOKUP(E1173,Sales_Reps!$A:$E,3,FALSE)</f>
        <v>South</v>
      </c>
      <c r="R1173" t="str">
        <f>VLOOKUP(E1173,Sales_Reps!$A:$E,2,FALSE)</f>
        <v>Anjali Chopra</v>
      </c>
      <c r="S1173">
        <f t="shared" si="18"/>
        <v>0.37797356828193834</v>
      </c>
    </row>
    <row r="1174" spans="1:19" x14ac:dyDescent="0.3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  <c r="L1174" t="str">
        <f>VLOOKUP(D1174,Products!$A:$F,3,FALSE)</f>
        <v>Home</v>
      </c>
      <c r="M1174" t="b">
        <f>VLOOKUP(D1174,Products!$A:$F,6,FALSE)</f>
        <v>1</v>
      </c>
      <c r="N1174">
        <f>VLOOKUP(D1174,Products!$A:$F,4,FALSE)</f>
        <v>2459</v>
      </c>
      <c r="O1174" t="str">
        <f>VLOOKUP(C1174,Customers!$A:$F,5,FALSE)</f>
        <v>Retail</v>
      </c>
      <c r="P1174">
        <f>VLOOKUP(C1174,Customers!$A:$F,3,FALSE)</f>
        <v>61</v>
      </c>
      <c r="Q1174" t="str">
        <f>VLOOKUP(E1174,Sales_Reps!$A:$E,3,FALSE)</f>
        <v>South</v>
      </c>
      <c r="R1174" t="str">
        <f>VLOOKUP(E1174,Sales_Reps!$A:$E,2,FALSE)</f>
        <v>Sanjay Kapoor</v>
      </c>
      <c r="S1174">
        <f t="shared" si="18"/>
        <v>0.51594488188976373</v>
      </c>
    </row>
    <row r="1175" spans="1:19" x14ac:dyDescent="0.3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  <c r="L1175" t="str">
        <f>VLOOKUP(D1175,Products!$A:$F,3,FALSE)</f>
        <v>Grocery</v>
      </c>
      <c r="M1175" t="b">
        <f>VLOOKUP(D1175,Products!$A:$F,6,FALSE)</f>
        <v>1</v>
      </c>
      <c r="N1175">
        <f>VLOOKUP(D1175,Products!$A:$F,4,FALSE)</f>
        <v>2027</v>
      </c>
      <c r="O1175" t="str">
        <f>VLOOKUP(C1175,Customers!$A:$F,5,FALSE)</f>
        <v>Retail</v>
      </c>
      <c r="P1175">
        <f>VLOOKUP(C1175,Customers!$A:$F,3,FALSE)</f>
        <v>31</v>
      </c>
      <c r="Q1175" t="str">
        <f>VLOOKUP(E1175,Sales_Reps!$A:$E,3,FALSE)</f>
        <v>West</v>
      </c>
      <c r="R1175" t="str">
        <f>VLOOKUP(E1175,Sales_Reps!$A:$E,2,FALSE)</f>
        <v>Arun Iyer</v>
      </c>
      <c r="S1175">
        <f t="shared" si="18"/>
        <v>0.50196560196560192</v>
      </c>
    </row>
    <row r="1176" spans="1:19" x14ac:dyDescent="0.3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  <c r="L1176" t="str">
        <f>VLOOKUP(D1176,Products!$A:$F,3,FALSE)</f>
        <v>Beauty</v>
      </c>
      <c r="M1176" t="b">
        <f>VLOOKUP(D1176,Products!$A:$F,6,FALSE)</f>
        <v>0</v>
      </c>
      <c r="N1176">
        <f>VLOOKUP(D1176,Products!$A:$F,4,FALSE)</f>
        <v>647</v>
      </c>
      <c r="O1176" t="str">
        <f>VLOOKUP(C1176,Customers!$A:$F,5,FALSE)</f>
        <v>SMB</v>
      </c>
      <c r="P1176">
        <f>VLOOKUP(C1176,Customers!$A:$F,3,FALSE)</f>
        <v>64</v>
      </c>
      <c r="Q1176" t="str">
        <f>VLOOKUP(E1176,Sales_Reps!$A:$E,3,FALSE)</f>
        <v>North</v>
      </c>
      <c r="R1176" t="str">
        <f>VLOOKUP(E1176,Sales_Reps!$A:$E,2,FALSE)</f>
        <v>Vikram Patel</v>
      </c>
      <c r="S1176">
        <f t="shared" si="18"/>
        <v>0.57987012987012987</v>
      </c>
    </row>
    <row r="1177" spans="1:19" x14ac:dyDescent="0.3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  <c r="L1177" t="str">
        <f>VLOOKUP(D1177,Products!$A:$F,3,FALSE)</f>
        <v>Beauty</v>
      </c>
      <c r="M1177" t="b">
        <f>VLOOKUP(D1177,Products!$A:$F,6,FALSE)</f>
        <v>1</v>
      </c>
      <c r="N1177">
        <f>VLOOKUP(D1177,Products!$A:$F,4,FALSE)</f>
        <v>2237</v>
      </c>
      <c r="O1177" t="str">
        <f>VLOOKUP(C1177,Customers!$A:$F,5,FALSE)</f>
        <v>Retail</v>
      </c>
      <c r="P1177">
        <f>VLOOKUP(C1177,Customers!$A:$F,3,FALSE)</f>
        <v>48</v>
      </c>
      <c r="Q1177" t="str">
        <f>VLOOKUP(E1177,Sales_Reps!$A:$E,3,FALSE)</f>
        <v>West</v>
      </c>
      <c r="R1177" t="str">
        <f>VLOOKUP(E1177,Sales_Reps!$A:$E,2,FALSE)</f>
        <v>Rekha Chopra</v>
      </c>
      <c r="S1177">
        <f t="shared" si="18"/>
        <v>0.56137254901960787</v>
      </c>
    </row>
    <row r="1178" spans="1:19" x14ac:dyDescent="0.3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  <c r="L1178" t="str">
        <f>VLOOKUP(D1178,Products!$A:$F,3,FALSE)</f>
        <v>Apparel</v>
      </c>
      <c r="M1178" t="b">
        <f>VLOOKUP(D1178,Products!$A:$F,6,FALSE)</f>
        <v>1</v>
      </c>
      <c r="N1178">
        <f>VLOOKUP(D1178,Products!$A:$F,4,FALSE)</f>
        <v>2509</v>
      </c>
      <c r="O1178" t="str">
        <f>VLOOKUP(C1178,Customers!$A:$F,5,FALSE)</f>
        <v>Corporate</v>
      </c>
      <c r="P1178">
        <f>VLOOKUP(C1178,Customers!$A:$F,3,FALSE)</f>
        <v>40</v>
      </c>
      <c r="Q1178" t="str">
        <f>VLOOKUP(E1178,Sales_Reps!$A:$E,3,FALSE)</f>
        <v>North</v>
      </c>
      <c r="R1178" t="str">
        <f>VLOOKUP(E1178,Sales_Reps!$A:$E,2,FALSE)</f>
        <v>Neha Desai</v>
      </c>
      <c r="S1178">
        <f t="shared" si="18"/>
        <v>0.3069060773480663</v>
      </c>
    </row>
    <row r="1179" spans="1:19" x14ac:dyDescent="0.3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  <c r="L1179" t="str">
        <f>VLOOKUP(D1179,Products!$A:$F,3,FALSE)</f>
        <v>Beauty</v>
      </c>
      <c r="M1179" t="b">
        <f>VLOOKUP(D1179,Products!$A:$F,6,FALSE)</f>
        <v>1</v>
      </c>
      <c r="N1179">
        <f>VLOOKUP(D1179,Products!$A:$F,4,FALSE)</f>
        <v>2768</v>
      </c>
      <c r="O1179" t="str">
        <f>VLOOKUP(C1179,Customers!$A:$F,5,FALSE)</f>
        <v>Retail</v>
      </c>
      <c r="P1179">
        <f>VLOOKUP(C1179,Customers!$A:$F,3,FALSE)</f>
        <v>56</v>
      </c>
      <c r="Q1179" t="str">
        <f>VLOOKUP(E1179,Sales_Reps!$A:$E,3,FALSE)</f>
        <v>North</v>
      </c>
      <c r="R1179" t="str">
        <f>VLOOKUP(E1179,Sales_Reps!$A:$E,2,FALSE)</f>
        <v>Amit Singh</v>
      </c>
      <c r="S1179">
        <f t="shared" si="18"/>
        <v>0.43278688524590164</v>
      </c>
    </row>
    <row r="1180" spans="1:19" x14ac:dyDescent="0.3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  <c r="L1180" t="str">
        <f>VLOOKUP(D1180,Products!$A:$F,3,FALSE)</f>
        <v>Electronics</v>
      </c>
      <c r="M1180" t="b">
        <f>VLOOKUP(D1180,Products!$A:$F,6,FALSE)</f>
        <v>1</v>
      </c>
      <c r="N1180">
        <f>VLOOKUP(D1180,Products!$A:$F,4,FALSE)</f>
        <v>1149</v>
      </c>
      <c r="O1180" t="str">
        <f>VLOOKUP(C1180,Customers!$A:$F,5,FALSE)</f>
        <v>SMB</v>
      </c>
      <c r="P1180">
        <f>VLOOKUP(C1180,Customers!$A:$F,3,FALSE)</f>
        <v>44</v>
      </c>
      <c r="Q1180" t="str">
        <f>VLOOKUP(E1180,Sales_Reps!$A:$E,3,FALSE)</f>
        <v>West</v>
      </c>
      <c r="R1180" t="str">
        <f>VLOOKUP(E1180,Sales_Reps!$A:$E,2,FALSE)</f>
        <v>Rekha Chopra</v>
      </c>
      <c r="S1180">
        <f t="shared" si="18"/>
        <v>0.56477272727272732</v>
      </c>
    </row>
    <row r="1181" spans="1:19" x14ac:dyDescent="0.3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  <c r="L1181" t="str">
        <f>VLOOKUP(D1181,Products!$A:$F,3,FALSE)</f>
        <v>Grocery</v>
      </c>
      <c r="M1181" t="b">
        <f>VLOOKUP(D1181,Products!$A:$F,6,FALSE)</f>
        <v>1</v>
      </c>
      <c r="N1181">
        <f>VLOOKUP(D1181,Products!$A:$F,4,FALSE)</f>
        <v>2027</v>
      </c>
      <c r="O1181" t="str">
        <f>VLOOKUP(C1181,Customers!$A:$F,5,FALSE)</f>
        <v>Retail</v>
      </c>
      <c r="P1181">
        <f>VLOOKUP(C1181,Customers!$A:$F,3,FALSE)</f>
        <v>53</v>
      </c>
      <c r="Q1181" t="str">
        <f>VLOOKUP(E1181,Sales_Reps!$A:$E,3,FALSE)</f>
        <v>East</v>
      </c>
      <c r="R1181" t="str">
        <f>VLOOKUP(E1181,Sales_Reps!$A:$E,2,FALSE)</f>
        <v>Meera Iyer</v>
      </c>
      <c r="S1181">
        <f t="shared" si="18"/>
        <v>0.50196560196560192</v>
      </c>
    </row>
    <row r="1182" spans="1:19" x14ac:dyDescent="0.3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  <c r="L1182" t="str">
        <f>VLOOKUP(D1182,Products!$A:$F,3,FALSE)</f>
        <v>Electronics</v>
      </c>
      <c r="M1182" t="b">
        <f>VLOOKUP(D1182,Products!$A:$F,6,FALSE)</f>
        <v>1</v>
      </c>
      <c r="N1182">
        <f>VLOOKUP(D1182,Products!$A:$F,4,FALSE)</f>
        <v>1665</v>
      </c>
      <c r="O1182" t="str">
        <f>VLOOKUP(C1182,Customers!$A:$F,5,FALSE)</f>
        <v>Retail</v>
      </c>
      <c r="P1182">
        <f>VLOOKUP(C1182,Customers!$A:$F,3,FALSE)</f>
        <v>28</v>
      </c>
      <c r="Q1182" t="str">
        <f>VLOOKUP(E1182,Sales_Reps!$A:$E,3,FALSE)</f>
        <v>West</v>
      </c>
      <c r="R1182" t="str">
        <f>VLOOKUP(E1182,Sales_Reps!$A:$E,2,FALSE)</f>
        <v>Ashok Reddy</v>
      </c>
      <c r="S1182">
        <f t="shared" si="18"/>
        <v>0.53361344537815125</v>
      </c>
    </row>
    <row r="1183" spans="1:19" x14ac:dyDescent="0.3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  <c r="L1183" t="str">
        <f>VLOOKUP(D1183,Products!$A:$F,3,FALSE)</f>
        <v>Beauty</v>
      </c>
      <c r="M1183" t="b">
        <f>VLOOKUP(D1183,Products!$A:$F,6,FALSE)</f>
        <v>1</v>
      </c>
      <c r="N1183">
        <f>VLOOKUP(D1183,Products!$A:$F,4,FALSE)</f>
        <v>1728</v>
      </c>
      <c r="O1183" t="str">
        <f>VLOOKUP(C1183,Customers!$A:$F,5,FALSE)</f>
        <v>SMB</v>
      </c>
      <c r="P1183">
        <f>VLOOKUP(C1183,Customers!$A:$F,3,FALSE)</f>
        <v>55</v>
      </c>
      <c r="Q1183" t="str">
        <f>VLOOKUP(E1183,Sales_Reps!$A:$E,3,FALSE)</f>
        <v>North</v>
      </c>
      <c r="R1183" t="str">
        <f>VLOOKUP(E1183,Sales_Reps!$A:$E,2,FALSE)</f>
        <v>Vikram Patel</v>
      </c>
      <c r="S1183">
        <f t="shared" si="18"/>
        <v>0.48417910447761192</v>
      </c>
    </row>
    <row r="1184" spans="1:19" x14ac:dyDescent="0.3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  <c r="L1184" t="str">
        <f>VLOOKUP(D1184,Products!$A:$F,3,FALSE)</f>
        <v>Sports</v>
      </c>
      <c r="M1184" t="b">
        <f>VLOOKUP(D1184,Products!$A:$F,6,FALSE)</f>
        <v>1</v>
      </c>
      <c r="N1184">
        <f>VLOOKUP(D1184,Products!$A:$F,4,FALSE)</f>
        <v>1860</v>
      </c>
      <c r="O1184" t="str">
        <f>VLOOKUP(C1184,Customers!$A:$F,5,FALSE)</f>
        <v>Retail</v>
      </c>
      <c r="P1184">
        <f>VLOOKUP(C1184,Customers!$A:$F,3,FALSE)</f>
        <v>24</v>
      </c>
      <c r="Q1184" t="str">
        <f>VLOOKUP(E1184,Sales_Reps!$A:$E,3,FALSE)</f>
        <v>West</v>
      </c>
      <c r="R1184" t="str">
        <f>VLOOKUP(E1184,Sales_Reps!$A:$E,2,FALSE)</f>
        <v>Ashok Reddy</v>
      </c>
      <c r="S1184">
        <f t="shared" si="18"/>
        <v>0.50793650793650791</v>
      </c>
    </row>
    <row r="1185" spans="1:19" x14ac:dyDescent="0.3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  <c r="L1185" t="str">
        <f>VLOOKUP(D1185,Products!$A:$F,3,FALSE)</f>
        <v>Electronics</v>
      </c>
      <c r="M1185" t="b">
        <f>VLOOKUP(D1185,Products!$A:$F,6,FALSE)</f>
        <v>1</v>
      </c>
      <c r="N1185">
        <f>VLOOKUP(D1185,Products!$A:$F,4,FALSE)</f>
        <v>1665</v>
      </c>
      <c r="O1185" t="str">
        <f>VLOOKUP(C1185,Customers!$A:$F,5,FALSE)</f>
        <v>Corporate</v>
      </c>
      <c r="P1185">
        <f>VLOOKUP(C1185,Customers!$A:$F,3,FALSE)</f>
        <v>52</v>
      </c>
      <c r="Q1185" t="str">
        <f>VLOOKUP(E1185,Sales_Reps!$A:$E,3,FALSE)</f>
        <v>North</v>
      </c>
      <c r="R1185" t="str">
        <f>VLOOKUP(E1185,Sales_Reps!$A:$E,2,FALSE)</f>
        <v>Kavita Patel</v>
      </c>
      <c r="S1185">
        <f t="shared" si="18"/>
        <v>0.53361344537815125</v>
      </c>
    </row>
    <row r="1186" spans="1:19" x14ac:dyDescent="0.3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  <c r="L1186" t="str">
        <f>VLOOKUP(D1186,Products!$A:$F,3,FALSE)</f>
        <v>Sports</v>
      </c>
      <c r="M1186" t="b">
        <f>VLOOKUP(D1186,Products!$A:$F,6,FALSE)</f>
        <v>1</v>
      </c>
      <c r="N1186">
        <f>VLOOKUP(D1186,Products!$A:$F,4,FALSE)</f>
        <v>2028</v>
      </c>
      <c r="O1186" t="str">
        <f>VLOOKUP(C1186,Customers!$A:$F,5,FALSE)</f>
        <v>Retail</v>
      </c>
      <c r="P1186">
        <f>VLOOKUP(C1186,Customers!$A:$F,3,FALSE)</f>
        <v>44</v>
      </c>
      <c r="Q1186" t="str">
        <f>VLOOKUP(E1186,Sales_Reps!$A:$E,3,FALSE)</f>
        <v>West</v>
      </c>
      <c r="R1186" t="str">
        <f>VLOOKUP(E1186,Sales_Reps!$A:$E,2,FALSE)</f>
        <v>Rekha Chopra</v>
      </c>
      <c r="S1186">
        <f t="shared" si="18"/>
        <v>0.29090909090909089</v>
      </c>
    </row>
    <row r="1187" spans="1:19" x14ac:dyDescent="0.3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  <c r="L1187" t="str">
        <f>VLOOKUP(D1187,Products!$A:$F,3,FALSE)</f>
        <v>Apparel</v>
      </c>
      <c r="M1187" t="b">
        <f>VLOOKUP(D1187,Products!$A:$F,6,FALSE)</f>
        <v>1</v>
      </c>
      <c r="N1187">
        <f>VLOOKUP(D1187,Products!$A:$F,4,FALSE)</f>
        <v>396</v>
      </c>
      <c r="O1187" t="str">
        <f>VLOOKUP(C1187,Customers!$A:$F,5,FALSE)</f>
        <v>Retail</v>
      </c>
      <c r="P1187">
        <f>VLOOKUP(C1187,Customers!$A:$F,3,FALSE)</f>
        <v>41</v>
      </c>
      <c r="Q1187" t="str">
        <f>VLOOKUP(E1187,Sales_Reps!$A:$E,3,FALSE)</f>
        <v>North</v>
      </c>
      <c r="R1187" t="str">
        <f>VLOOKUP(E1187,Sales_Reps!$A:$E,2,FALSE)</f>
        <v>Amit Singh</v>
      </c>
      <c r="S1187">
        <f t="shared" si="18"/>
        <v>0.36129032258064514</v>
      </c>
    </row>
    <row r="1188" spans="1:19" x14ac:dyDescent="0.3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  <c r="L1188" t="str">
        <f>VLOOKUP(D1188,Products!$A:$F,3,FALSE)</f>
        <v>Electronics</v>
      </c>
      <c r="M1188" t="b">
        <f>VLOOKUP(D1188,Products!$A:$F,6,FALSE)</f>
        <v>1</v>
      </c>
      <c r="N1188">
        <f>VLOOKUP(D1188,Products!$A:$F,4,FALSE)</f>
        <v>1665</v>
      </c>
      <c r="O1188" t="str">
        <f>VLOOKUP(C1188,Customers!$A:$F,5,FALSE)</f>
        <v>SMB</v>
      </c>
      <c r="P1188">
        <f>VLOOKUP(C1188,Customers!$A:$F,3,FALSE)</f>
        <v>44</v>
      </c>
      <c r="Q1188" t="str">
        <f>VLOOKUP(E1188,Sales_Reps!$A:$E,3,FALSE)</f>
        <v>South</v>
      </c>
      <c r="R1188" t="str">
        <f>VLOOKUP(E1188,Sales_Reps!$A:$E,2,FALSE)</f>
        <v>Pooja Nair</v>
      </c>
      <c r="S1188">
        <f t="shared" si="18"/>
        <v>0.53361344537815125</v>
      </c>
    </row>
    <row r="1189" spans="1:19" x14ac:dyDescent="0.3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  <c r="L1189" t="str">
        <f>VLOOKUP(D1189,Products!$A:$F,3,FALSE)</f>
        <v>Electronics</v>
      </c>
      <c r="M1189" t="b">
        <f>VLOOKUP(D1189,Products!$A:$F,6,FALSE)</f>
        <v>1</v>
      </c>
      <c r="N1189">
        <f>VLOOKUP(D1189,Products!$A:$F,4,FALSE)</f>
        <v>2405</v>
      </c>
      <c r="O1189" t="str">
        <f>VLOOKUP(C1189,Customers!$A:$F,5,FALSE)</f>
        <v>Corporate</v>
      </c>
      <c r="P1189">
        <f>VLOOKUP(C1189,Customers!$A:$F,3,FALSE)</f>
        <v>41</v>
      </c>
      <c r="Q1189" t="str">
        <f>VLOOKUP(E1189,Sales_Reps!$A:$E,3,FALSE)</f>
        <v>South</v>
      </c>
      <c r="R1189" t="str">
        <f>VLOOKUP(E1189,Sales_Reps!$A:$E,2,FALSE)</f>
        <v>Pooja Nair</v>
      </c>
      <c r="S1189">
        <f t="shared" si="18"/>
        <v>0.54878048780487809</v>
      </c>
    </row>
    <row r="1190" spans="1:19" x14ac:dyDescent="0.3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  <c r="L1190" t="str">
        <f>VLOOKUP(D1190,Products!$A:$F,3,FALSE)</f>
        <v>Sports</v>
      </c>
      <c r="M1190" t="b">
        <f>VLOOKUP(D1190,Products!$A:$F,6,FALSE)</f>
        <v>1</v>
      </c>
      <c r="N1190">
        <f>VLOOKUP(D1190,Products!$A:$F,4,FALSE)</f>
        <v>2265</v>
      </c>
      <c r="O1190" t="str">
        <f>VLOOKUP(C1190,Customers!$A:$F,5,FALSE)</f>
        <v>SMB</v>
      </c>
      <c r="P1190">
        <f>VLOOKUP(C1190,Customers!$A:$F,3,FALSE)</f>
        <v>22</v>
      </c>
      <c r="Q1190" t="str">
        <f>VLOOKUP(E1190,Sales_Reps!$A:$E,3,FALSE)</f>
        <v>East</v>
      </c>
      <c r="R1190" t="str">
        <f>VLOOKUP(E1190,Sales_Reps!$A:$E,2,FALSE)</f>
        <v>Shalini Patel</v>
      </c>
      <c r="S1190">
        <f t="shared" si="18"/>
        <v>0.58133086876155271</v>
      </c>
    </row>
    <row r="1191" spans="1:19" x14ac:dyDescent="0.3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  <c r="L1191" t="str">
        <f>VLOOKUP(D1191,Products!$A:$F,3,FALSE)</f>
        <v>Home</v>
      </c>
      <c r="M1191" t="b">
        <f>VLOOKUP(D1191,Products!$A:$F,6,FALSE)</f>
        <v>1</v>
      </c>
      <c r="N1191">
        <f>VLOOKUP(D1191,Products!$A:$F,4,FALSE)</f>
        <v>2459</v>
      </c>
      <c r="O1191" t="str">
        <f>VLOOKUP(C1191,Customers!$A:$F,5,FALSE)</f>
        <v>Retail</v>
      </c>
      <c r="P1191">
        <f>VLOOKUP(C1191,Customers!$A:$F,3,FALSE)</f>
        <v>42</v>
      </c>
      <c r="Q1191" t="str">
        <f>VLOOKUP(E1191,Sales_Reps!$A:$E,3,FALSE)</f>
        <v>South</v>
      </c>
      <c r="R1191" t="str">
        <f>VLOOKUP(E1191,Sales_Reps!$A:$E,2,FALSE)</f>
        <v>Anjali Chopra</v>
      </c>
      <c r="S1191">
        <f t="shared" si="18"/>
        <v>0.51594488188976373</v>
      </c>
    </row>
    <row r="1192" spans="1:19" x14ac:dyDescent="0.3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  <c r="L1192" t="str">
        <f>VLOOKUP(D1192,Products!$A:$F,3,FALSE)</f>
        <v>Electronics</v>
      </c>
      <c r="M1192" t="b">
        <f>VLOOKUP(D1192,Products!$A:$F,6,FALSE)</f>
        <v>1</v>
      </c>
      <c r="N1192">
        <f>VLOOKUP(D1192,Products!$A:$F,4,FALSE)</f>
        <v>1665</v>
      </c>
      <c r="O1192" t="str">
        <f>VLOOKUP(C1192,Customers!$A:$F,5,FALSE)</f>
        <v>Retail</v>
      </c>
      <c r="P1192">
        <f>VLOOKUP(C1192,Customers!$A:$F,3,FALSE)</f>
        <v>24</v>
      </c>
      <c r="Q1192" t="str">
        <f>VLOOKUP(E1192,Sales_Reps!$A:$E,3,FALSE)</f>
        <v>North</v>
      </c>
      <c r="R1192" t="str">
        <f>VLOOKUP(E1192,Sales_Reps!$A:$E,2,FALSE)</f>
        <v>Vikram Patel</v>
      </c>
      <c r="S1192">
        <f t="shared" si="18"/>
        <v>0.53361344537815125</v>
      </c>
    </row>
    <row r="1193" spans="1:19" x14ac:dyDescent="0.3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  <c r="L1193" t="str">
        <f>VLOOKUP(D1193,Products!$A:$F,3,FALSE)</f>
        <v>Grocery</v>
      </c>
      <c r="M1193" t="b">
        <f>VLOOKUP(D1193,Products!$A:$F,6,FALSE)</f>
        <v>1</v>
      </c>
      <c r="N1193">
        <f>VLOOKUP(D1193,Products!$A:$F,4,FALSE)</f>
        <v>434</v>
      </c>
      <c r="O1193" t="str">
        <f>VLOOKUP(C1193,Customers!$A:$F,5,FALSE)</f>
        <v>Retail</v>
      </c>
      <c r="P1193">
        <f>VLOOKUP(C1193,Customers!$A:$F,3,FALSE)</f>
        <v>34</v>
      </c>
      <c r="Q1193" t="str">
        <f>VLOOKUP(E1193,Sales_Reps!$A:$E,3,FALSE)</f>
        <v>East</v>
      </c>
      <c r="R1193" t="str">
        <f>VLOOKUP(E1193,Sales_Reps!$A:$E,2,FALSE)</f>
        <v>Nisha Menon</v>
      </c>
      <c r="S1193">
        <f t="shared" si="18"/>
        <v>0.5525773195876289</v>
      </c>
    </row>
    <row r="1194" spans="1:19" x14ac:dyDescent="0.3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  <c r="L1194" t="str">
        <f>VLOOKUP(D1194,Products!$A:$F,3,FALSE)</f>
        <v>Electronics</v>
      </c>
      <c r="M1194" t="b">
        <f>VLOOKUP(D1194,Products!$A:$F,6,FALSE)</f>
        <v>1</v>
      </c>
      <c r="N1194">
        <f>VLOOKUP(D1194,Products!$A:$F,4,FALSE)</f>
        <v>128</v>
      </c>
      <c r="O1194" t="str">
        <f>VLOOKUP(C1194,Customers!$A:$F,5,FALSE)</f>
        <v>Retail</v>
      </c>
      <c r="P1194">
        <f>VLOOKUP(C1194,Customers!$A:$F,3,FALSE)</f>
        <v>44</v>
      </c>
      <c r="Q1194" t="str">
        <f>VLOOKUP(E1194,Sales_Reps!$A:$E,3,FALSE)</f>
        <v>South</v>
      </c>
      <c r="R1194" t="str">
        <f>VLOOKUP(E1194,Sales_Reps!$A:$E,2,FALSE)</f>
        <v>Manoj Patel</v>
      </c>
      <c r="S1194">
        <f t="shared" si="18"/>
        <v>0.57333333333333336</v>
      </c>
    </row>
    <row r="1195" spans="1:19" x14ac:dyDescent="0.3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  <c r="L1195" t="str">
        <f>VLOOKUP(D1195,Products!$A:$F,3,FALSE)</f>
        <v>Beauty</v>
      </c>
      <c r="M1195" t="b">
        <f>VLOOKUP(D1195,Products!$A:$F,6,FALSE)</f>
        <v>1</v>
      </c>
      <c r="N1195">
        <f>VLOOKUP(D1195,Products!$A:$F,4,FALSE)</f>
        <v>2617</v>
      </c>
      <c r="O1195" t="str">
        <f>VLOOKUP(C1195,Customers!$A:$F,5,FALSE)</f>
        <v>SMB</v>
      </c>
      <c r="P1195">
        <f>VLOOKUP(C1195,Customers!$A:$F,3,FALSE)</f>
        <v>64</v>
      </c>
      <c r="Q1195" t="str">
        <f>VLOOKUP(E1195,Sales_Reps!$A:$E,3,FALSE)</f>
        <v>North</v>
      </c>
      <c r="R1195" t="str">
        <f>VLOOKUP(E1195,Sales_Reps!$A:$E,2,FALSE)</f>
        <v>Amit Singh</v>
      </c>
      <c r="S1195">
        <f t="shared" si="18"/>
        <v>0.56957236842105263</v>
      </c>
    </row>
    <row r="1196" spans="1:19" x14ac:dyDescent="0.3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  <c r="L1196" t="str">
        <f>VLOOKUP(D1196,Products!$A:$F,3,FALSE)</f>
        <v>Beauty</v>
      </c>
      <c r="M1196" t="b">
        <f>VLOOKUP(D1196,Products!$A:$F,6,FALSE)</f>
        <v>1</v>
      </c>
      <c r="N1196">
        <f>VLOOKUP(D1196,Products!$A:$F,4,FALSE)</f>
        <v>2237</v>
      </c>
      <c r="O1196" t="str">
        <f>VLOOKUP(C1196,Customers!$A:$F,5,FALSE)</f>
        <v>SMB</v>
      </c>
      <c r="P1196">
        <f>VLOOKUP(C1196,Customers!$A:$F,3,FALSE)</f>
        <v>39</v>
      </c>
      <c r="Q1196" t="str">
        <f>VLOOKUP(E1196,Sales_Reps!$A:$E,3,FALSE)</f>
        <v>South</v>
      </c>
      <c r="R1196" t="str">
        <f>VLOOKUP(E1196,Sales_Reps!$A:$E,2,FALSE)</f>
        <v>Anil Verma</v>
      </c>
      <c r="S1196">
        <f t="shared" si="18"/>
        <v>0.56137254901960787</v>
      </c>
    </row>
    <row r="1197" spans="1:19" x14ac:dyDescent="0.3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  <c r="L1197" t="str">
        <f>VLOOKUP(D1197,Products!$A:$F,3,FALSE)</f>
        <v>Apparel</v>
      </c>
      <c r="M1197" t="b">
        <f>VLOOKUP(D1197,Products!$A:$F,6,FALSE)</f>
        <v>1</v>
      </c>
      <c r="N1197">
        <f>VLOOKUP(D1197,Products!$A:$F,4,FALSE)</f>
        <v>1748</v>
      </c>
      <c r="O1197" t="str">
        <f>VLOOKUP(C1197,Customers!$A:$F,5,FALSE)</f>
        <v>Retail</v>
      </c>
      <c r="P1197">
        <f>VLOOKUP(C1197,Customers!$A:$F,3,FALSE)</f>
        <v>42</v>
      </c>
      <c r="Q1197" t="str">
        <f>VLOOKUP(E1197,Sales_Reps!$A:$E,3,FALSE)</f>
        <v>East</v>
      </c>
      <c r="R1197" t="str">
        <f>VLOOKUP(E1197,Sales_Reps!$A:$E,2,FALSE)</f>
        <v>Prakash Shah</v>
      </c>
      <c r="S1197">
        <f t="shared" si="18"/>
        <v>0.49333333333333335</v>
      </c>
    </row>
    <row r="1198" spans="1:19" x14ac:dyDescent="0.3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  <c r="L1198" t="str">
        <f>VLOOKUP(D1198,Products!$A:$F,3,FALSE)</f>
        <v>Apparel</v>
      </c>
      <c r="M1198" t="b">
        <f>VLOOKUP(D1198,Products!$A:$F,6,FALSE)</f>
        <v>1</v>
      </c>
      <c r="N1198">
        <f>VLOOKUP(D1198,Products!$A:$F,4,FALSE)</f>
        <v>1173</v>
      </c>
      <c r="O1198" t="str">
        <f>VLOOKUP(C1198,Customers!$A:$F,5,FALSE)</f>
        <v>Retail</v>
      </c>
      <c r="P1198">
        <f>VLOOKUP(C1198,Customers!$A:$F,3,FALSE)</f>
        <v>29</v>
      </c>
      <c r="Q1198" t="str">
        <f>VLOOKUP(E1198,Sales_Reps!$A:$E,3,FALSE)</f>
        <v>South</v>
      </c>
      <c r="R1198" t="str">
        <f>VLOOKUP(E1198,Sales_Reps!$A:$E,2,FALSE)</f>
        <v>Anil Verma</v>
      </c>
      <c r="S1198">
        <f t="shared" si="18"/>
        <v>0.52701612903225803</v>
      </c>
    </row>
    <row r="1199" spans="1:19" x14ac:dyDescent="0.3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  <c r="L1199" t="str">
        <f>VLOOKUP(D1199,Products!$A:$F,3,FALSE)</f>
        <v>Sports</v>
      </c>
      <c r="M1199" t="b">
        <f>VLOOKUP(D1199,Products!$A:$F,6,FALSE)</f>
        <v>1</v>
      </c>
      <c r="N1199">
        <f>VLOOKUP(D1199,Products!$A:$F,4,FALSE)</f>
        <v>147</v>
      </c>
      <c r="O1199" t="str">
        <f>VLOOKUP(C1199,Customers!$A:$F,5,FALSE)</f>
        <v>Corporate</v>
      </c>
      <c r="P1199">
        <f>VLOOKUP(C1199,Customers!$A:$F,3,FALSE)</f>
        <v>55</v>
      </c>
      <c r="Q1199" t="str">
        <f>VLOOKUP(E1199,Sales_Reps!$A:$E,3,FALSE)</f>
        <v>South</v>
      </c>
      <c r="R1199" t="str">
        <f>VLOOKUP(E1199,Sales_Reps!$A:$E,2,FALSE)</f>
        <v>Divya Rao</v>
      </c>
      <c r="S1199">
        <f t="shared" si="18"/>
        <v>0.22631578947368422</v>
      </c>
    </row>
    <row r="1200" spans="1:19" x14ac:dyDescent="0.3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  <c r="L1200" t="str">
        <f>VLOOKUP(D1200,Products!$A:$F,3,FALSE)</f>
        <v>Grocery</v>
      </c>
      <c r="M1200" t="b">
        <f>VLOOKUP(D1200,Products!$A:$F,6,FALSE)</f>
        <v>1</v>
      </c>
      <c r="N1200">
        <f>VLOOKUP(D1200,Products!$A:$F,4,FALSE)</f>
        <v>1412</v>
      </c>
      <c r="O1200" t="str">
        <f>VLOOKUP(C1200,Customers!$A:$F,5,FALSE)</f>
        <v>SMB</v>
      </c>
      <c r="P1200">
        <f>VLOOKUP(C1200,Customers!$A:$F,3,FALSE)</f>
        <v>44</v>
      </c>
      <c r="Q1200" t="str">
        <f>VLOOKUP(E1200,Sales_Reps!$A:$E,3,FALSE)</f>
        <v>East</v>
      </c>
      <c r="R1200" t="str">
        <f>VLOOKUP(E1200,Sales_Reps!$A:$E,2,FALSE)</f>
        <v>Meera Iyer</v>
      </c>
      <c r="S1200">
        <f t="shared" si="18"/>
        <v>0.37797356828193834</v>
      </c>
    </row>
    <row r="1201" spans="1:19" x14ac:dyDescent="0.3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  <c r="L1201" t="str">
        <f>VLOOKUP(D1201,Products!$A:$F,3,FALSE)</f>
        <v>Apparel</v>
      </c>
      <c r="M1201" t="b">
        <f>VLOOKUP(D1201,Products!$A:$F,6,FALSE)</f>
        <v>0</v>
      </c>
      <c r="N1201">
        <f>VLOOKUP(D1201,Products!$A:$F,4,FALSE)</f>
        <v>1075</v>
      </c>
      <c r="O1201" t="str">
        <f>VLOOKUP(C1201,Customers!$A:$F,5,FALSE)</f>
        <v>SMB</v>
      </c>
      <c r="P1201">
        <f>VLOOKUP(C1201,Customers!$A:$F,3,FALSE)</f>
        <v>26</v>
      </c>
      <c r="Q1201" t="str">
        <f>VLOOKUP(E1201,Sales_Reps!$A:$E,3,FALSE)</f>
        <v>West</v>
      </c>
      <c r="R1201" t="str">
        <f>VLOOKUP(E1201,Sales_Reps!$A:$E,2,FALSE)</f>
        <v>Preeti Shah</v>
      </c>
      <c r="S1201">
        <f t="shared" si="18"/>
        <v>0.57171314741035861</v>
      </c>
    </row>
    <row r="1202" spans="1:19" x14ac:dyDescent="0.3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  <c r="L1202" t="str">
        <f>VLOOKUP(D1202,Products!$A:$F,3,FALSE)</f>
        <v>Sports</v>
      </c>
      <c r="M1202" t="b">
        <f>VLOOKUP(D1202,Products!$A:$F,6,FALSE)</f>
        <v>1</v>
      </c>
      <c r="N1202">
        <f>VLOOKUP(D1202,Products!$A:$F,4,FALSE)</f>
        <v>1860</v>
      </c>
      <c r="O1202" t="str">
        <f>VLOOKUP(C1202,Customers!$A:$F,5,FALSE)</f>
        <v>Retail</v>
      </c>
      <c r="P1202">
        <f>VLOOKUP(C1202,Customers!$A:$F,3,FALSE)</f>
        <v>56</v>
      </c>
      <c r="Q1202" t="str">
        <f>VLOOKUP(E1202,Sales_Reps!$A:$E,3,FALSE)</f>
        <v>North</v>
      </c>
      <c r="R1202" t="str">
        <f>VLOOKUP(E1202,Sales_Reps!$A:$E,2,FALSE)</f>
        <v>Priya Singh</v>
      </c>
      <c r="S1202">
        <f t="shared" si="18"/>
        <v>0.50793650793650791</v>
      </c>
    </row>
    <row r="1203" spans="1:19" x14ac:dyDescent="0.3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  <c r="L1203" t="str">
        <f>VLOOKUP(D1203,Products!$A:$F,3,FALSE)</f>
        <v>Electronics</v>
      </c>
      <c r="M1203" t="b">
        <f>VLOOKUP(D1203,Products!$A:$F,6,FALSE)</f>
        <v>1</v>
      </c>
      <c r="N1203">
        <f>VLOOKUP(D1203,Products!$A:$F,4,FALSE)</f>
        <v>1665</v>
      </c>
      <c r="O1203" t="str">
        <f>VLOOKUP(C1203,Customers!$A:$F,5,FALSE)</f>
        <v>SMB</v>
      </c>
      <c r="P1203">
        <f>VLOOKUP(C1203,Customers!$A:$F,3,FALSE)</f>
        <v>43</v>
      </c>
      <c r="Q1203" t="str">
        <f>VLOOKUP(E1203,Sales_Reps!$A:$E,3,FALSE)</f>
        <v>South</v>
      </c>
      <c r="R1203" t="str">
        <f>VLOOKUP(E1203,Sales_Reps!$A:$E,2,FALSE)</f>
        <v>Divya Rao</v>
      </c>
      <c r="S1203">
        <f t="shared" si="18"/>
        <v>0.53361344537815125</v>
      </c>
    </row>
    <row r="1204" spans="1:19" x14ac:dyDescent="0.3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  <c r="L1204" t="str">
        <f>VLOOKUP(D1204,Products!$A:$F,3,FALSE)</f>
        <v>Home</v>
      </c>
      <c r="M1204" t="b">
        <f>VLOOKUP(D1204,Products!$A:$F,6,FALSE)</f>
        <v>1</v>
      </c>
      <c r="N1204">
        <f>VLOOKUP(D1204,Products!$A:$F,4,FALSE)</f>
        <v>329</v>
      </c>
      <c r="O1204" t="str">
        <f>VLOOKUP(C1204,Customers!$A:$F,5,FALSE)</f>
        <v>Corporate</v>
      </c>
      <c r="P1204">
        <f>VLOOKUP(C1204,Customers!$A:$F,3,FALSE)</f>
        <v>48</v>
      </c>
      <c r="Q1204" t="str">
        <f>VLOOKUP(E1204,Sales_Reps!$A:$E,3,FALSE)</f>
        <v>South</v>
      </c>
      <c r="R1204" t="str">
        <f>VLOOKUP(E1204,Sales_Reps!$A:$E,2,FALSE)</f>
        <v>Anil Verma</v>
      </c>
      <c r="S1204">
        <f t="shared" si="18"/>
        <v>0.50151515151515147</v>
      </c>
    </row>
    <row r="1205" spans="1:19" x14ac:dyDescent="0.3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  <c r="L1205" t="str">
        <f>VLOOKUP(D1205,Products!$A:$F,3,FALSE)</f>
        <v>Grocery</v>
      </c>
      <c r="M1205" t="b">
        <f>VLOOKUP(D1205,Products!$A:$F,6,FALSE)</f>
        <v>1</v>
      </c>
      <c r="N1205">
        <f>VLOOKUP(D1205,Products!$A:$F,4,FALSE)</f>
        <v>434</v>
      </c>
      <c r="O1205" t="str">
        <f>VLOOKUP(C1205,Customers!$A:$F,5,FALSE)</f>
        <v>Retail</v>
      </c>
      <c r="P1205">
        <f>VLOOKUP(C1205,Customers!$A:$F,3,FALSE)</f>
        <v>54</v>
      </c>
      <c r="Q1205" t="str">
        <f>VLOOKUP(E1205,Sales_Reps!$A:$E,3,FALSE)</f>
        <v>South</v>
      </c>
      <c r="R1205" t="str">
        <f>VLOOKUP(E1205,Sales_Reps!$A:$E,2,FALSE)</f>
        <v>Divya Rao</v>
      </c>
      <c r="S1205">
        <f t="shared" si="18"/>
        <v>0.5525773195876289</v>
      </c>
    </row>
    <row r="1206" spans="1:19" x14ac:dyDescent="0.3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  <c r="L1206" t="str">
        <f>VLOOKUP(D1206,Products!$A:$F,3,FALSE)</f>
        <v>Grocery</v>
      </c>
      <c r="M1206" t="b">
        <f>VLOOKUP(D1206,Products!$A:$F,6,FALSE)</f>
        <v>1</v>
      </c>
      <c r="N1206">
        <f>VLOOKUP(D1206,Products!$A:$F,4,FALSE)</f>
        <v>1203</v>
      </c>
      <c r="O1206" t="str">
        <f>VLOOKUP(C1206,Customers!$A:$F,5,FALSE)</f>
        <v>SMB</v>
      </c>
      <c r="P1206">
        <f>VLOOKUP(C1206,Customers!$A:$F,3,FALSE)</f>
        <v>38</v>
      </c>
      <c r="Q1206" t="str">
        <f>VLOOKUP(E1206,Sales_Reps!$A:$E,3,FALSE)</f>
        <v>North</v>
      </c>
      <c r="R1206" t="str">
        <f>VLOOKUP(E1206,Sales_Reps!$A:$E,2,FALSE)</f>
        <v>Neha Desai</v>
      </c>
      <c r="S1206">
        <f t="shared" si="18"/>
        <v>0.47004405286343615</v>
      </c>
    </row>
    <row r="1207" spans="1:19" x14ac:dyDescent="0.3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  <c r="L1207" t="str">
        <f>VLOOKUP(D1207,Products!$A:$F,3,FALSE)</f>
        <v>Sports</v>
      </c>
      <c r="M1207" t="b">
        <f>VLOOKUP(D1207,Products!$A:$F,6,FALSE)</f>
        <v>1</v>
      </c>
      <c r="N1207">
        <f>VLOOKUP(D1207,Products!$A:$F,4,FALSE)</f>
        <v>974</v>
      </c>
      <c r="O1207" t="str">
        <f>VLOOKUP(C1207,Customers!$A:$F,5,FALSE)</f>
        <v>SMB</v>
      </c>
      <c r="P1207">
        <f>VLOOKUP(C1207,Customers!$A:$F,3,FALSE)</f>
        <v>65</v>
      </c>
      <c r="Q1207" t="str">
        <f>VLOOKUP(E1207,Sales_Reps!$A:$E,3,FALSE)</f>
        <v>South</v>
      </c>
      <c r="R1207" t="str">
        <f>VLOOKUP(E1207,Sales_Reps!$A:$E,2,FALSE)</f>
        <v>Pooja Nair</v>
      </c>
      <c r="S1207">
        <f t="shared" si="18"/>
        <v>0.59416666666666662</v>
      </c>
    </row>
    <row r="1208" spans="1:19" x14ac:dyDescent="0.3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  <c r="L1208" t="str">
        <f>VLOOKUP(D1208,Products!$A:$F,3,FALSE)</f>
        <v>Home</v>
      </c>
      <c r="M1208" t="b">
        <f>VLOOKUP(D1208,Products!$A:$F,6,FALSE)</f>
        <v>1</v>
      </c>
      <c r="N1208">
        <f>VLOOKUP(D1208,Products!$A:$F,4,FALSE)</f>
        <v>2459</v>
      </c>
      <c r="O1208" t="str">
        <f>VLOOKUP(C1208,Customers!$A:$F,5,FALSE)</f>
        <v>SMB</v>
      </c>
      <c r="P1208">
        <f>VLOOKUP(C1208,Customers!$A:$F,3,FALSE)</f>
        <v>27</v>
      </c>
      <c r="Q1208" t="str">
        <f>VLOOKUP(E1208,Sales_Reps!$A:$E,3,FALSE)</f>
        <v>South</v>
      </c>
      <c r="R1208" t="str">
        <f>VLOOKUP(E1208,Sales_Reps!$A:$E,2,FALSE)</f>
        <v>Divya Rao</v>
      </c>
      <c r="S1208">
        <f t="shared" si="18"/>
        <v>0.51594488188976373</v>
      </c>
    </row>
    <row r="1209" spans="1:19" x14ac:dyDescent="0.3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  <c r="L1209" t="str">
        <f>VLOOKUP(D1209,Products!$A:$F,3,FALSE)</f>
        <v>Beauty</v>
      </c>
      <c r="M1209" t="b">
        <f>VLOOKUP(D1209,Products!$A:$F,6,FALSE)</f>
        <v>1</v>
      </c>
      <c r="N1209">
        <f>VLOOKUP(D1209,Products!$A:$F,4,FALSE)</f>
        <v>1728</v>
      </c>
      <c r="O1209" t="str">
        <f>VLOOKUP(C1209,Customers!$A:$F,5,FALSE)</f>
        <v>Retail</v>
      </c>
      <c r="P1209">
        <f>VLOOKUP(C1209,Customers!$A:$F,3,FALSE)</f>
        <v>42</v>
      </c>
      <c r="Q1209" t="str">
        <f>VLOOKUP(E1209,Sales_Reps!$A:$E,3,FALSE)</f>
        <v>South</v>
      </c>
      <c r="R1209" t="str">
        <f>VLOOKUP(E1209,Sales_Reps!$A:$E,2,FALSE)</f>
        <v>Ritu Menon</v>
      </c>
      <c r="S1209">
        <f t="shared" si="18"/>
        <v>0.48417910447761192</v>
      </c>
    </row>
    <row r="1210" spans="1:19" x14ac:dyDescent="0.3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  <c r="L1210" t="str">
        <f>VLOOKUP(D1210,Products!$A:$F,3,FALSE)</f>
        <v>Beauty</v>
      </c>
      <c r="M1210" t="b">
        <f>VLOOKUP(D1210,Products!$A:$F,6,FALSE)</f>
        <v>0</v>
      </c>
      <c r="N1210">
        <f>VLOOKUP(D1210,Products!$A:$F,4,FALSE)</f>
        <v>647</v>
      </c>
      <c r="O1210" t="str">
        <f>VLOOKUP(C1210,Customers!$A:$F,5,FALSE)</f>
        <v>Retail</v>
      </c>
      <c r="P1210">
        <f>VLOOKUP(C1210,Customers!$A:$F,3,FALSE)</f>
        <v>22</v>
      </c>
      <c r="Q1210" t="str">
        <f>VLOOKUP(E1210,Sales_Reps!$A:$E,3,FALSE)</f>
        <v>North</v>
      </c>
      <c r="R1210" t="str">
        <f>VLOOKUP(E1210,Sales_Reps!$A:$E,2,FALSE)</f>
        <v>Rajesh Malhotra</v>
      </c>
      <c r="S1210">
        <f t="shared" si="18"/>
        <v>0.57987012987012987</v>
      </c>
    </row>
    <row r="1211" spans="1:19" x14ac:dyDescent="0.3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  <c r="L1211" t="str">
        <f>VLOOKUP(D1211,Products!$A:$F,3,FALSE)</f>
        <v>Home</v>
      </c>
      <c r="M1211" t="b">
        <f>VLOOKUP(D1211,Products!$A:$F,6,FALSE)</f>
        <v>1</v>
      </c>
      <c r="N1211">
        <f>VLOOKUP(D1211,Products!$A:$F,4,FALSE)</f>
        <v>2459</v>
      </c>
      <c r="O1211" t="str">
        <f>VLOOKUP(C1211,Customers!$A:$F,5,FALSE)</f>
        <v>Retail</v>
      </c>
      <c r="P1211">
        <f>VLOOKUP(C1211,Customers!$A:$F,3,FALSE)</f>
        <v>65</v>
      </c>
      <c r="Q1211" t="str">
        <f>VLOOKUP(E1211,Sales_Reps!$A:$E,3,FALSE)</f>
        <v>North</v>
      </c>
      <c r="R1211" t="str">
        <f>VLOOKUP(E1211,Sales_Reps!$A:$E,2,FALSE)</f>
        <v>Sunita Malhotra</v>
      </c>
      <c r="S1211">
        <f t="shared" si="18"/>
        <v>0.51594488188976373</v>
      </c>
    </row>
    <row r="1212" spans="1:19" x14ac:dyDescent="0.3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  <c r="L1212" t="str">
        <f>VLOOKUP(D1212,Products!$A:$F,3,FALSE)</f>
        <v>Apparel</v>
      </c>
      <c r="M1212" t="b">
        <f>VLOOKUP(D1212,Products!$A:$F,6,FALSE)</f>
        <v>1</v>
      </c>
      <c r="N1212">
        <f>VLOOKUP(D1212,Products!$A:$F,4,FALSE)</f>
        <v>2629</v>
      </c>
      <c r="O1212" t="str">
        <f>VLOOKUP(C1212,Customers!$A:$F,5,FALSE)</f>
        <v>Retail</v>
      </c>
      <c r="P1212">
        <f>VLOOKUP(C1212,Customers!$A:$F,3,FALSE)</f>
        <v>49</v>
      </c>
      <c r="Q1212" t="str">
        <f>VLOOKUP(E1212,Sales_Reps!$A:$E,3,FALSE)</f>
        <v>South</v>
      </c>
      <c r="R1212" t="str">
        <f>VLOOKUP(E1212,Sales_Reps!$A:$E,2,FALSE)</f>
        <v>Pooja Nair</v>
      </c>
      <c r="S1212">
        <f t="shared" si="18"/>
        <v>0.26151685393258428</v>
      </c>
    </row>
    <row r="1213" spans="1:19" x14ac:dyDescent="0.3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  <c r="L1213" t="str">
        <f>VLOOKUP(D1213,Products!$A:$F,3,FALSE)</f>
        <v>Home</v>
      </c>
      <c r="M1213" t="b">
        <f>VLOOKUP(D1213,Products!$A:$F,6,FALSE)</f>
        <v>1</v>
      </c>
      <c r="N1213">
        <f>VLOOKUP(D1213,Products!$A:$F,4,FALSE)</f>
        <v>519</v>
      </c>
      <c r="O1213" t="str">
        <f>VLOOKUP(C1213,Customers!$A:$F,5,FALSE)</f>
        <v>Retail</v>
      </c>
      <c r="P1213">
        <f>VLOOKUP(C1213,Customers!$A:$F,3,FALSE)</f>
        <v>27</v>
      </c>
      <c r="Q1213" t="str">
        <f>VLOOKUP(E1213,Sales_Reps!$A:$E,3,FALSE)</f>
        <v>South</v>
      </c>
      <c r="R1213" t="str">
        <f>VLOOKUP(E1213,Sales_Reps!$A:$E,2,FALSE)</f>
        <v>Manoj Patel</v>
      </c>
      <c r="S1213">
        <f t="shared" si="18"/>
        <v>0.51944444444444449</v>
      </c>
    </row>
    <row r="1214" spans="1:19" x14ac:dyDescent="0.3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  <c r="L1214" t="str">
        <f>VLOOKUP(D1214,Products!$A:$F,3,FALSE)</f>
        <v>Grocery</v>
      </c>
      <c r="M1214" t="b">
        <f>VLOOKUP(D1214,Products!$A:$F,6,FALSE)</f>
        <v>1</v>
      </c>
      <c r="N1214">
        <f>VLOOKUP(D1214,Products!$A:$F,4,FALSE)</f>
        <v>1182</v>
      </c>
      <c r="O1214" t="str">
        <f>VLOOKUP(C1214,Customers!$A:$F,5,FALSE)</f>
        <v>Retail</v>
      </c>
      <c r="P1214">
        <f>VLOOKUP(C1214,Customers!$A:$F,3,FALSE)</f>
        <v>50</v>
      </c>
      <c r="Q1214" t="str">
        <f>VLOOKUP(E1214,Sales_Reps!$A:$E,3,FALSE)</f>
        <v>East</v>
      </c>
      <c r="R1214" t="str">
        <f>VLOOKUP(E1214,Sales_Reps!$A:$E,2,FALSE)</f>
        <v>Shalini Patel</v>
      </c>
      <c r="S1214">
        <f t="shared" si="18"/>
        <v>0.50336134453781511</v>
      </c>
    </row>
    <row r="1215" spans="1:19" x14ac:dyDescent="0.3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  <c r="L1215" t="str">
        <f>VLOOKUP(D1215,Products!$A:$F,3,FALSE)</f>
        <v>Apparel</v>
      </c>
      <c r="M1215" t="b">
        <f>VLOOKUP(D1215,Products!$A:$F,6,FALSE)</f>
        <v>1</v>
      </c>
      <c r="N1215">
        <f>VLOOKUP(D1215,Products!$A:$F,4,FALSE)</f>
        <v>1173</v>
      </c>
      <c r="O1215" t="str">
        <f>VLOOKUP(C1215,Customers!$A:$F,5,FALSE)</f>
        <v>SMB</v>
      </c>
      <c r="P1215">
        <f>VLOOKUP(C1215,Customers!$A:$F,3,FALSE)</f>
        <v>57</v>
      </c>
      <c r="Q1215" t="str">
        <f>VLOOKUP(E1215,Sales_Reps!$A:$E,3,FALSE)</f>
        <v>West</v>
      </c>
      <c r="R1215" t="str">
        <f>VLOOKUP(E1215,Sales_Reps!$A:$E,2,FALSE)</f>
        <v>Ashok Reddy</v>
      </c>
      <c r="S1215">
        <f t="shared" si="18"/>
        <v>0.52701612903225803</v>
      </c>
    </row>
    <row r="1216" spans="1:19" x14ac:dyDescent="0.3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  <c r="L1216" t="str">
        <f>VLOOKUP(D1216,Products!$A:$F,3,FALSE)</f>
        <v>Beauty</v>
      </c>
      <c r="M1216" t="b">
        <f>VLOOKUP(D1216,Products!$A:$F,6,FALSE)</f>
        <v>1</v>
      </c>
      <c r="N1216">
        <f>VLOOKUP(D1216,Products!$A:$F,4,FALSE)</f>
        <v>1219</v>
      </c>
      <c r="O1216" t="str">
        <f>VLOOKUP(C1216,Customers!$A:$F,5,FALSE)</f>
        <v>SMB</v>
      </c>
      <c r="P1216">
        <f>VLOOKUP(C1216,Customers!$A:$F,3,FALSE)</f>
        <v>29</v>
      </c>
      <c r="Q1216" t="str">
        <f>VLOOKUP(E1216,Sales_Reps!$A:$E,3,FALSE)</f>
        <v>South</v>
      </c>
      <c r="R1216" t="str">
        <f>VLOOKUP(E1216,Sales_Reps!$A:$E,2,FALSE)</f>
        <v>Pooja Nair</v>
      </c>
      <c r="S1216">
        <f t="shared" si="18"/>
        <v>0.46768558951965067</v>
      </c>
    </row>
    <row r="1217" spans="1:19" x14ac:dyDescent="0.3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  <c r="L1217" t="str">
        <f>VLOOKUP(D1217,Products!$A:$F,3,FALSE)</f>
        <v>Apparel</v>
      </c>
      <c r="M1217" t="b">
        <f>VLOOKUP(D1217,Products!$A:$F,6,FALSE)</f>
        <v>1</v>
      </c>
      <c r="N1217">
        <f>VLOOKUP(D1217,Products!$A:$F,4,FALSE)</f>
        <v>1748</v>
      </c>
      <c r="O1217" t="str">
        <f>VLOOKUP(C1217,Customers!$A:$F,5,FALSE)</f>
        <v>Retail</v>
      </c>
      <c r="P1217">
        <f>VLOOKUP(C1217,Customers!$A:$F,3,FALSE)</f>
        <v>44</v>
      </c>
      <c r="Q1217" t="str">
        <f>VLOOKUP(E1217,Sales_Reps!$A:$E,3,FALSE)</f>
        <v>South</v>
      </c>
      <c r="R1217" t="str">
        <f>VLOOKUP(E1217,Sales_Reps!$A:$E,2,FALSE)</f>
        <v>Anil Verma</v>
      </c>
      <c r="S1217">
        <f t="shared" si="18"/>
        <v>0.49333333333333335</v>
      </c>
    </row>
    <row r="1218" spans="1:19" x14ac:dyDescent="0.3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  <c r="L1218" t="str">
        <f>VLOOKUP(D1218,Products!$A:$F,3,FALSE)</f>
        <v>Beauty</v>
      </c>
      <c r="M1218" t="b">
        <f>VLOOKUP(D1218,Products!$A:$F,6,FALSE)</f>
        <v>1</v>
      </c>
      <c r="N1218">
        <f>VLOOKUP(D1218,Products!$A:$F,4,FALSE)</f>
        <v>2420</v>
      </c>
      <c r="O1218" t="str">
        <f>VLOOKUP(C1218,Customers!$A:$F,5,FALSE)</f>
        <v>SMB</v>
      </c>
      <c r="P1218">
        <f>VLOOKUP(C1218,Customers!$A:$F,3,FALSE)</f>
        <v>27</v>
      </c>
      <c r="Q1218" t="str">
        <f>VLOOKUP(E1218,Sales_Reps!$A:$E,3,FALSE)</f>
        <v>West</v>
      </c>
      <c r="R1218" t="str">
        <f>VLOOKUP(E1218,Sales_Reps!$A:$E,2,FALSE)</f>
        <v>Rekha Chopra</v>
      </c>
      <c r="S1218">
        <f t="shared" si="18"/>
        <v>0.29855072463768118</v>
      </c>
    </row>
    <row r="1219" spans="1:19" x14ac:dyDescent="0.3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  <c r="L1219" t="str">
        <f>VLOOKUP(D1219,Products!$A:$F,3,FALSE)</f>
        <v>Electronics</v>
      </c>
      <c r="M1219" t="b">
        <f>VLOOKUP(D1219,Products!$A:$F,6,FALSE)</f>
        <v>1</v>
      </c>
      <c r="N1219">
        <f>VLOOKUP(D1219,Products!$A:$F,4,FALSE)</f>
        <v>1052</v>
      </c>
      <c r="O1219" t="str">
        <f>VLOOKUP(C1219,Customers!$A:$F,5,FALSE)</f>
        <v>Corporate</v>
      </c>
      <c r="P1219">
        <f>VLOOKUP(C1219,Customers!$A:$F,3,FALSE)</f>
        <v>59</v>
      </c>
      <c r="Q1219" t="str">
        <f>VLOOKUP(E1219,Sales_Reps!$A:$E,3,FALSE)</f>
        <v>West</v>
      </c>
      <c r="R1219" t="str">
        <f>VLOOKUP(E1219,Sales_Reps!$A:$E,2,FALSE)</f>
        <v>Kiran Bhatt</v>
      </c>
      <c r="S1219">
        <f t="shared" ref="S1219:S1282" si="19">IFERROR((G1219-N1219)/G1219,"")</f>
        <v>0.5953846153846154</v>
      </c>
    </row>
    <row r="1220" spans="1:19" x14ac:dyDescent="0.3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  <c r="L1220" t="str">
        <f>VLOOKUP(D1220,Products!$A:$F,3,FALSE)</f>
        <v>Grocery</v>
      </c>
      <c r="M1220" t="b">
        <f>VLOOKUP(D1220,Products!$A:$F,6,FALSE)</f>
        <v>1</v>
      </c>
      <c r="N1220">
        <f>VLOOKUP(D1220,Products!$A:$F,4,FALSE)</f>
        <v>1435</v>
      </c>
      <c r="O1220" t="str">
        <f>VLOOKUP(C1220,Customers!$A:$F,5,FALSE)</f>
        <v>SMB</v>
      </c>
      <c r="P1220">
        <f>VLOOKUP(C1220,Customers!$A:$F,3,FALSE)</f>
        <v>49</v>
      </c>
      <c r="Q1220" t="str">
        <f>VLOOKUP(E1220,Sales_Reps!$A:$E,3,FALSE)</f>
        <v>West</v>
      </c>
      <c r="R1220" t="str">
        <f>VLOOKUP(E1220,Sales_Reps!$A:$E,2,FALSE)</f>
        <v>Ashok Reddy</v>
      </c>
      <c r="S1220">
        <f t="shared" si="19"/>
        <v>0.48007246376811596</v>
      </c>
    </row>
    <row r="1221" spans="1:19" x14ac:dyDescent="0.3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  <c r="L1221" t="str">
        <f>VLOOKUP(D1221,Products!$A:$F,3,FALSE)</f>
        <v>Home</v>
      </c>
      <c r="M1221" t="b">
        <f>VLOOKUP(D1221,Products!$A:$F,6,FALSE)</f>
        <v>1</v>
      </c>
      <c r="N1221">
        <f>VLOOKUP(D1221,Products!$A:$F,4,FALSE)</f>
        <v>1850</v>
      </c>
      <c r="O1221" t="str">
        <f>VLOOKUP(C1221,Customers!$A:$F,5,FALSE)</f>
        <v>Corporate</v>
      </c>
      <c r="P1221">
        <f>VLOOKUP(C1221,Customers!$A:$F,3,FALSE)</f>
        <v>26</v>
      </c>
      <c r="Q1221" t="str">
        <f>VLOOKUP(E1221,Sales_Reps!$A:$E,3,FALSE)</f>
        <v>North</v>
      </c>
      <c r="R1221" t="str">
        <f>VLOOKUP(E1221,Sales_Reps!$A:$E,2,FALSE)</f>
        <v>Amit Singh</v>
      </c>
      <c r="S1221">
        <f t="shared" si="19"/>
        <v>0.59869848156182215</v>
      </c>
    </row>
    <row r="1222" spans="1:19" x14ac:dyDescent="0.3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  <c r="L1222" t="str">
        <f>VLOOKUP(D1222,Products!$A:$F,3,FALSE)</f>
        <v>Apparel</v>
      </c>
      <c r="M1222" t="b">
        <f>VLOOKUP(D1222,Products!$A:$F,6,FALSE)</f>
        <v>1</v>
      </c>
      <c r="N1222">
        <f>VLOOKUP(D1222,Products!$A:$F,4,FALSE)</f>
        <v>1173</v>
      </c>
      <c r="O1222" t="str">
        <f>VLOOKUP(C1222,Customers!$A:$F,5,FALSE)</f>
        <v>Retail</v>
      </c>
      <c r="P1222">
        <f>VLOOKUP(C1222,Customers!$A:$F,3,FALSE)</f>
        <v>60</v>
      </c>
      <c r="Q1222" t="str">
        <f>VLOOKUP(E1222,Sales_Reps!$A:$E,3,FALSE)</f>
        <v>West</v>
      </c>
      <c r="R1222" t="str">
        <f>VLOOKUP(E1222,Sales_Reps!$A:$E,2,FALSE)</f>
        <v>Rekha Chopra</v>
      </c>
      <c r="S1222">
        <f t="shared" si="19"/>
        <v>0.52701612903225803</v>
      </c>
    </row>
    <row r="1223" spans="1:19" x14ac:dyDescent="0.3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  <c r="L1223" t="str">
        <f>VLOOKUP(D1223,Products!$A:$F,3,FALSE)</f>
        <v>Sports</v>
      </c>
      <c r="M1223" t="b">
        <f>VLOOKUP(D1223,Products!$A:$F,6,FALSE)</f>
        <v>1</v>
      </c>
      <c r="N1223">
        <f>VLOOKUP(D1223,Products!$A:$F,4,FALSE)</f>
        <v>2827</v>
      </c>
      <c r="O1223" t="str">
        <f>VLOOKUP(C1223,Customers!$A:$F,5,FALSE)</f>
        <v>SMB</v>
      </c>
      <c r="P1223">
        <f>VLOOKUP(C1223,Customers!$A:$F,3,FALSE)</f>
        <v>29</v>
      </c>
      <c r="Q1223" t="str">
        <f>VLOOKUP(E1223,Sales_Reps!$A:$E,3,FALSE)</f>
        <v>South</v>
      </c>
      <c r="R1223" t="str">
        <f>VLOOKUP(E1223,Sales_Reps!$A:$E,2,FALSE)</f>
        <v>Anil Verma</v>
      </c>
      <c r="S1223">
        <f t="shared" si="19"/>
        <v>0.5926512968299712</v>
      </c>
    </row>
    <row r="1224" spans="1:19" x14ac:dyDescent="0.3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  <c r="L1224" t="str">
        <f>VLOOKUP(D1224,Products!$A:$F,3,FALSE)</f>
        <v>Grocery</v>
      </c>
      <c r="M1224" t="b">
        <f>VLOOKUP(D1224,Products!$A:$F,6,FALSE)</f>
        <v>1</v>
      </c>
      <c r="N1224">
        <f>VLOOKUP(D1224,Products!$A:$F,4,FALSE)</f>
        <v>1412</v>
      </c>
      <c r="O1224" t="str">
        <f>VLOOKUP(C1224,Customers!$A:$F,5,FALSE)</f>
        <v>SMB</v>
      </c>
      <c r="P1224">
        <f>VLOOKUP(C1224,Customers!$A:$F,3,FALSE)</f>
        <v>48</v>
      </c>
      <c r="Q1224" t="str">
        <f>VLOOKUP(E1224,Sales_Reps!$A:$E,3,FALSE)</f>
        <v>East</v>
      </c>
      <c r="R1224" t="str">
        <f>VLOOKUP(E1224,Sales_Reps!$A:$E,2,FALSE)</f>
        <v>Vinod Kumar</v>
      </c>
      <c r="S1224">
        <f t="shared" si="19"/>
        <v>0.37797356828193834</v>
      </c>
    </row>
    <row r="1225" spans="1:19" x14ac:dyDescent="0.3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  <c r="L1225" t="str">
        <f>VLOOKUP(D1225,Products!$A:$F,3,FALSE)</f>
        <v>Beauty</v>
      </c>
      <c r="M1225" t="b">
        <f>VLOOKUP(D1225,Products!$A:$F,6,FALSE)</f>
        <v>1</v>
      </c>
      <c r="N1225">
        <f>VLOOKUP(D1225,Products!$A:$F,4,FALSE)</f>
        <v>2237</v>
      </c>
      <c r="O1225" t="str">
        <f>VLOOKUP(C1225,Customers!$A:$F,5,FALSE)</f>
        <v>SMB</v>
      </c>
      <c r="P1225">
        <f>VLOOKUP(C1225,Customers!$A:$F,3,FALSE)</f>
        <v>36</v>
      </c>
      <c r="Q1225" t="str">
        <f>VLOOKUP(E1225,Sales_Reps!$A:$E,3,FALSE)</f>
        <v>West</v>
      </c>
      <c r="R1225" t="str">
        <f>VLOOKUP(E1225,Sales_Reps!$A:$E,2,FALSE)</f>
        <v>Kiran Bhatt</v>
      </c>
      <c r="S1225">
        <f t="shared" si="19"/>
        <v>0.56137254901960787</v>
      </c>
    </row>
    <row r="1226" spans="1:19" x14ac:dyDescent="0.3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  <c r="L1226" t="str">
        <f>VLOOKUP(D1226,Products!$A:$F,3,FALSE)</f>
        <v>Home</v>
      </c>
      <c r="M1226" t="b">
        <f>VLOOKUP(D1226,Products!$A:$F,6,FALSE)</f>
        <v>1</v>
      </c>
      <c r="N1226">
        <f>VLOOKUP(D1226,Products!$A:$F,4,FALSE)</f>
        <v>1556</v>
      </c>
      <c r="O1226" t="str">
        <f>VLOOKUP(C1226,Customers!$A:$F,5,FALSE)</f>
        <v>SMB</v>
      </c>
      <c r="P1226">
        <f>VLOOKUP(C1226,Customers!$A:$F,3,FALSE)</f>
        <v>43</v>
      </c>
      <c r="Q1226" t="str">
        <f>VLOOKUP(E1226,Sales_Reps!$A:$E,3,FALSE)</f>
        <v>South</v>
      </c>
      <c r="R1226" t="str">
        <f>VLOOKUP(E1226,Sales_Reps!$A:$E,2,FALSE)</f>
        <v>Anil Verma</v>
      </c>
      <c r="S1226">
        <f t="shared" si="19"/>
        <v>0.52123076923076928</v>
      </c>
    </row>
    <row r="1227" spans="1:19" x14ac:dyDescent="0.3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  <c r="L1227" t="str">
        <f>VLOOKUP(D1227,Products!$A:$F,3,FALSE)</f>
        <v>Electronics</v>
      </c>
      <c r="M1227" t="b">
        <f>VLOOKUP(D1227,Products!$A:$F,6,FALSE)</f>
        <v>1</v>
      </c>
      <c r="N1227">
        <f>VLOOKUP(D1227,Products!$A:$F,4,FALSE)</f>
        <v>2865</v>
      </c>
      <c r="O1227" t="str">
        <f>VLOOKUP(C1227,Customers!$A:$F,5,FALSE)</f>
        <v>Retail</v>
      </c>
      <c r="P1227">
        <f>VLOOKUP(C1227,Customers!$A:$F,3,FALSE)</f>
        <v>59</v>
      </c>
      <c r="Q1227" t="str">
        <f>VLOOKUP(E1227,Sales_Reps!$A:$E,3,FALSE)</f>
        <v>North</v>
      </c>
      <c r="R1227" t="str">
        <f>VLOOKUP(E1227,Sales_Reps!$A:$E,2,FALSE)</f>
        <v>Amit Singh</v>
      </c>
      <c r="S1227">
        <f t="shared" si="19"/>
        <v>0.27833753148614609</v>
      </c>
    </row>
    <row r="1228" spans="1:19" x14ac:dyDescent="0.3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  <c r="L1228" t="str">
        <f>VLOOKUP(D1228,Products!$A:$F,3,FALSE)</f>
        <v>Electronics</v>
      </c>
      <c r="M1228" t="b">
        <f>VLOOKUP(D1228,Products!$A:$F,6,FALSE)</f>
        <v>1</v>
      </c>
      <c r="N1228">
        <f>VLOOKUP(D1228,Products!$A:$F,4,FALSE)</f>
        <v>2405</v>
      </c>
      <c r="O1228" t="str">
        <f>VLOOKUP(C1228,Customers!$A:$F,5,FALSE)</f>
        <v>Corporate</v>
      </c>
      <c r="P1228">
        <f>VLOOKUP(C1228,Customers!$A:$F,3,FALSE)</f>
        <v>52</v>
      </c>
      <c r="Q1228" t="str">
        <f>VLOOKUP(E1228,Sales_Reps!$A:$E,3,FALSE)</f>
        <v>West</v>
      </c>
      <c r="R1228" t="str">
        <f>VLOOKUP(E1228,Sales_Reps!$A:$E,2,FALSE)</f>
        <v>Ashok Reddy</v>
      </c>
      <c r="S1228">
        <f t="shared" si="19"/>
        <v>0.54878048780487809</v>
      </c>
    </row>
    <row r="1229" spans="1:19" x14ac:dyDescent="0.3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  <c r="L1229" t="str">
        <f>VLOOKUP(D1229,Products!$A:$F,3,FALSE)</f>
        <v>Electronics</v>
      </c>
      <c r="M1229" t="b">
        <f>VLOOKUP(D1229,Products!$A:$F,6,FALSE)</f>
        <v>0</v>
      </c>
      <c r="N1229">
        <f>VLOOKUP(D1229,Products!$A:$F,4,FALSE)</f>
        <v>1259</v>
      </c>
      <c r="O1229" t="str">
        <f>VLOOKUP(C1229,Customers!$A:$F,5,FALSE)</f>
        <v>Retail</v>
      </c>
      <c r="P1229">
        <f>VLOOKUP(C1229,Customers!$A:$F,3,FALSE)</f>
        <v>42</v>
      </c>
      <c r="Q1229" t="str">
        <f>VLOOKUP(E1229,Sales_Reps!$A:$E,3,FALSE)</f>
        <v>North</v>
      </c>
      <c r="R1229" t="str">
        <f>VLOOKUP(E1229,Sales_Reps!$A:$E,2,FALSE)</f>
        <v>Priya Singh</v>
      </c>
      <c r="S1229">
        <f t="shared" si="19"/>
        <v>0.52669172932330832</v>
      </c>
    </row>
    <row r="1230" spans="1:19" x14ac:dyDescent="0.3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  <c r="L1230" t="str">
        <f>VLOOKUP(D1230,Products!$A:$F,3,FALSE)</f>
        <v>Apparel</v>
      </c>
      <c r="M1230" t="b">
        <f>VLOOKUP(D1230,Products!$A:$F,6,FALSE)</f>
        <v>1</v>
      </c>
      <c r="N1230">
        <f>VLOOKUP(D1230,Products!$A:$F,4,FALSE)</f>
        <v>1886</v>
      </c>
      <c r="O1230" t="str">
        <f>VLOOKUP(C1230,Customers!$A:$F,5,FALSE)</f>
        <v>Retail</v>
      </c>
      <c r="P1230">
        <f>VLOOKUP(C1230,Customers!$A:$F,3,FALSE)</f>
        <v>39</v>
      </c>
      <c r="Q1230" t="str">
        <f>VLOOKUP(E1230,Sales_Reps!$A:$E,3,FALSE)</f>
        <v>West</v>
      </c>
      <c r="R1230" t="str">
        <f>VLOOKUP(E1230,Sales_Reps!$A:$E,2,FALSE)</f>
        <v>Arun Iyer</v>
      </c>
      <c r="S1230">
        <f t="shared" si="19"/>
        <v>0.4031645569620253</v>
      </c>
    </row>
    <row r="1231" spans="1:19" x14ac:dyDescent="0.3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  <c r="L1231" t="str">
        <f>VLOOKUP(D1231,Products!$A:$F,3,FALSE)</f>
        <v>Sports</v>
      </c>
      <c r="M1231" t="b">
        <f>VLOOKUP(D1231,Products!$A:$F,6,FALSE)</f>
        <v>1</v>
      </c>
      <c r="N1231">
        <f>VLOOKUP(D1231,Products!$A:$F,4,FALSE)</f>
        <v>516</v>
      </c>
      <c r="O1231" t="str">
        <f>VLOOKUP(C1231,Customers!$A:$F,5,FALSE)</f>
        <v>Corporate</v>
      </c>
      <c r="P1231">
        <f>VLOOKUP(C1231,Customers!$A:$F,3,FALSE)</f>
        <v>33</v>
      </c>
      <c r="Q1231" t="str">
        <f>VLOOKUP(E1231,Sales_Reps!$A:$E,3,FALSE)</f>
        <v>East</v>
      </c>
      <c r="R1231" t="str">
        <f>VLOOKUP(E1231,Sales_Reps!$A:$E,2,FALSE)</f>
        <v>Prakash Shah</v>
      </c>
      <c r="S1231">
        <f t="shared" si="19"/>
        <v>0.4891089108910891</v>
      </c>
    </row>
    <row r="1232" spans="1:19" x14ac:dyDescent="0.3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  <c r="L1232" t="str">
        <f>VLOOKUP(D1232,Products!$A:$F,3,FALSE)</f>
        <v>Beauty</v>
      </c>
      <c r="M1232" t="b">
        <f>VLOOKUP(D1232,Products!$A:$F,6,FALSE)</f>
        <v>0</v>
      </c>
      <c r="N1232">
        <f>VLOOKUP(D1232,Products!$A:$F,4,FALSE)</f>
        <v>647</v>
      </c>
      <c r="O1232" t="str">
        <f>VLOOKUP(C1232,Customers!$A:$F,5,FALSE)</f>
        <v>SMB</v>
      </c>
      <c r="P1232">
        <f>VLOOKUP(C1232,Customers!$A:$F,3,FALSE)</f>
        <v>27</v>
      </c>
      <c r="Q1232" t="str">
        <f>VLOOKUP(E1232,Sales_Reps!$A:$E,3,FALSE)</f>
        <v>North</v>
      </c>
      <c r="R1232" t="str">
        <f>VLOOKUP(E1232,Sales_Reps!$A:$E,2,FALSE)</f>
        <v>Amit Singh</v>
      </c>
      <c r="S1232">
        <f t="shared" si="19"/>
        <v>0.57987012987012987</v>
      </c>
    </row>
    <row r="1233" spans="1:19" x14ac:dyDescent="0.3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  <c r="L1233" t="str">
        <f>VLOOKUP(D1233,Products!$A:$F,3,FALSE)</f>
        <v>Beauty</v>
      </c>
      <c r="M1233" t="b">
        <f>VLOOKUP(D1233,Products!$A:$F,6,FALSE)</f>
        <v>1</v>
      </c>
      <c r="N1233">
        <f>VLOOKUP(D1233,Products!$A:$F,4,FALSE)</f>
        <v>2237</v>
      </c>
      <c r="O1233" t="str">
        <f>VLOOKUP(C1233,Customers!$A:$F,5,FALSE)</f>
        <v>Retail</v>
      </c>
      <c r="P1233">
        <f>VLOOKUP(C1233,Customers!$A:$F,3,FALSE)</f>
        <v>26</v>
      </c>
      <c r="Q1233" t="str">
        <f>VLOOKUP(E1233,Sales_Reps!$A:$E,3,FALSE)</f>
        <v>South</v>
      </c>
      <c r="R1233" t="str">
        <f>VLOOKUP(E1233,Sales_Reps!$A:$E,2,FALSE)</f>
        <v>Manoj Patel</v>
      </c>
      <c r="S1233">
        <f t="shared" si="19"/>
        <v>0.56137254901960787</v>
      </c>
    </row>
    <row r="1234" spans="1:19" x14ac:dyDescent="0.3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  <c r="L1234" t="str">
        <f>VLOOKUP(D1234,Products!$A:$F,3,FALSE)</f>
        <v>Electronics</v>
      </c>
      <c r="M1234" t="b">
        <f>VLOOKUP(D1234,Products!$A:$F,6,FALSE)</f>
        <v>1</v>
      </c>
      <c r="N1234">
        <f>VLOOKUP(D1234,Products!$A:$F,4,FALSE)</f>
        <v>861</v>
      </c>
      <c r="O1234" t="str">
        <f>VLOOKUP(C1234,Customers!$A:$F,5,FALSE)</f>
        <v>Retail</v>
      </c>
      <c r="P1234">
        <f>VLOOKUP(C1234,Customers!$A:$F,3,FALSE)</f>
        <v>22</v>
      </c>
      <c r="Q1234" t="str">
        <f>VLOOKUP(E1234,Sales_Reps!$A:$E,3,FALSE)</f>
        <v>West</v>
      </c>
      <c r="R1234" t="str">
        <f>VLOOKUP(E1234,Sales_Reps!$A:$E,2,FALSE)</f>
        <v>Kiran Bhatt</v>
      </c>
      <c r="S1234">
        <f t="shared" si="19"/>
        <v>0.39790209790209791</v>
      </c>
    </row>
    <row r="1235" spans="1:19" x14ac:dyDescent="0.3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  <c r="L1235" t="str">
        <f>VLOOKUP(D1235,Products!$A:$F,3,FALSE)</f>
        <v>Home</v>
      </c>
      <c r="M1235" t="b">
        <f>VLOOKUP(D1235,Products!$A:$F,6,FALSE)</f>
        <v>1</v>
      </c>
      <c r="N1235">
        <f>VLOOKUP(D1235,Products!$A:$F,4,FALSE)</f>
        <v>2549</v>
      </c>
      <c r="O1235" t="str">
        <f>VLOOKUP(C1235,Customers!$A:$F,5,FALSE)</f>
        <v>Retail</v>
      </c>
      <c r="P1235">
        <f>VLOOKUP(C1235,Customers!$A:$F,3,FALSE)</f>
        <v>31</v>
      </c>
      <c r="Q1235" t="str">
        <f>VLOOKUP(E1235,Sales_Reps!$A:$E,3,FALSE)</f>
        <v>South</v>
      </c>
      <c r="R1235" t="str">
        <f>VLOOKUP(E1235,Sales_Reps!$A:$E,2,FALSE)</f>
        <v>Sanjay Kapoor</v>
      </c>
      <c r="S1235">
        <f t="shared" si="19"/>
        <v>0.53570127504553733</v>
      </c>
    </row>
    <row r="1236" spans="1:19" x14ac:dyDescent="0.3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  <c r="L1236" t="str">
        <f>VLOOKUP(D1236,Products!$A:$F,3,FALSE)</f>
        <v>Beauty</v>
      </c>
      <c r="M1236" t="b">
        <f>VLOOKUP(D1236,Products!$A:$F,6,FALSE)</f>
        <v>1</v>
      </c>
      <c r="N1236">
        <f>VLOOKUP(D1236,Products!$A:$F,4,FALSE)</f>
        <v>1222</v>
      </c>
      <c r="O1236" t="str">
        <f>VLOOKUP(C1236,Customers!$A:$F,5,FALSE)</f>
        <v>Retail</v>
      </c>
      <c r="P1236">
        <f>VLOOKUP(C1236,Customers!$A:$F,3,FALSE)</f>
        <v>22</v>
      </c>
      <c r="Q1236" t="str">
        <f>VLOOKUP(E1236,Sales_Reps!$A:$E,3,FALSE)</f>
        <v>North</v>
      </c>
      <c r="R1236" t="str">
        <f>VLOOKUP(E1236,Sales_Reps!$A:$E,2,FALSE)</f>
        <v>Kavita Patel</v>
      </c>
      <c r="S1236">
        <f t="shared" si="19"/>
        <v>0.2593939393939394</v>
      </c>
    </row>
    <row r="1237" spans="1:19" x14ac:dyDescent="0.3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  <c r="L1237" t="str">
        <f>VLOOKUP(D1237,Products!$A:$F,3,FALSE)</f>
        <v>Beauty</v>
      </c>
      <c r="M1237" t="b">
        <f>VLOOKUP(D1237,Products!$A:$F,6,FALSE)</f>
        <v>1</v>
      </c>
      <c r="N1237">
        <f>VLOOKUP(D1237,Products!$A:$F,4,FALSE)</f>
        <v>1626</v>
      </c>
      <c r="O1237" t="str">
        <f>VLOOKUP(C1237,Customers!$A:$F,5,FALSE)</f>
        <v>SMB</v>
      </c>
      <c r="P1237">
        <f>VLOOKUP(C1237,Customers!$A:$F,3,FALSE)</f>
        <v>31</v>
      </c>
      <c r="Q1237" t="str">
        <f>VLOOKUP(E1237,Sales_Reps!$A:$E,3,FALSE)</f>
        <v>East</v>
      </c>
      <c r="R1237" t="str">
        <f>VLOOKUP(E1237,Sales_Reps!$A:$E,2,FALSE)</f>
        <v>Shalini Patel</v>
      </c>
      <c r="S1237">
        <f t="shared" si="19"/>
        <v>0.46158940397350995</v>
      </c>
    </row>
    <row r="1238" spans="1:19" x14ac:dyDescent="0.3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  <c r="L1238" t="str">
        <f>VLOOKUP(D1238,Products!$A:$F,3,FALSE)</f>
        <v>Beauty</v>
      </c>
      <c r="M1238" t="b">
        <f>VLOOKUP(D1238,Products!$A:$F,6,FALSE)</f>
        <v>0</v>
      </c>
      <c r="N1238">
        <f>VLOOKUP(D1238,Products!$A:$F,4,FALSE)</f>
        <v>647</v>
      </c>
      <c r="O1238" t="str">
        <f>VLOOKUP(C1238,Customers!$A:$F,5,FALSE)</f>
        <v>SMB</v>
      </c>
      <c r="P1238">
        <f>VLOOKUP(C1238,Customers!$A:$F,3,FALSE)</f>
        <v>54</v>
      </c>
      <c r="Q1238" t="str">
        <f>VLOOKUP(E1238,Sales_Reps!$A:$E,3,FALSE)</f>
        <v>North</v>
      </c>
      <c r="R1238" t="str">
        <f>VLOOKUP(E1238,Sales_Reps!$A:$E,2,FALSE)</f>
        <v>Amit Singh</v>
      </c>
      <c r="S1238">
        <f t="shared" si="19"/>
        <v>0.57987012987012987</v>
      </c>
    </row>
    <row r="1239" spans="1:19" x14ac:dyDescent="0.3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  <c r="L1239" t="str">
        <f>VLOOKUP(D1239,Products!$A:$F,3,FALSE)</f>
        <v>Sports</v>
      </c>
      <c r="M1239" t="b">
        <f>VLOOKUP(D1239,Products!$A:$F,6,FALSE)</f>
        <v>1</v>
      </c>
      <c r="N1239">
        <f>VLOOKUP(D1239,Products!$A:$F,4,FALSE)</f>
        <v>2827</v>
      </c>
      <c r="O1239" t="str">
        <f>VLOOKUP(C1239,Customers!$A:$F,5,FALSE)</f>
        <v>SMB</v>
      </c>
      <c r="P1239">
        <f>VLOOKUP(C1239,Customers!$A:$F,3,FALSE)</f>
        <v>60</v>
      </c>
      <c r="Q1239" t="str">
        <f>VLOOKUP(E1239,Sales_Reps!$A:$E,3,FALSE)</f>
        <v>East</v>
      </c>
      <c r="R1239" t="str">
        <f>VLOOKUP(E1239,Sales_Reps!$A:$E,2,FALSE)</f>
        <v>Vinod Kumar</v>
      </c>
      <c r="S1239">
        <f t="shared" si="19"/>
        <v>0.5926512968299712</v>
      </c>
    </row>
    <row r="1240" spans="1:19" x14ac:dyDescent="0.3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  <c r="L1240" t="str">
        <f>VLOOKUP(D1240,Products!$A:$F,3,FALSE)</f>
        <v>Beauty</v>
      </c>
      <c r="M1240" t="b">
        <f>VLOOKUP(D1240,Products!$A:$F,6,FALSE)</f>
        <v>1</v>
      </c>
      <c r="N1240">
        <f>VLOOKUP(D1240,Products!$A:$F,4,FALSE)</f>
        <v>2237</v>
      </c>
      <c r="O1240" t="str">
        <f>VLOOKUP(C1240,Customers!$A:$F,5,FALSE)</f>
        <v>Retail</v>
      </c>
      <c r="P1240">
        <f>VLOOKUP(C1240,Customers!$A:$F,3,FALSE)</f>
        <v>36</v>
      </c>
      <c r="Q1240" t="str">
        <f>VLOOKUP(E1240,Sales_Reps!$A:$E,3,FALSE)</f>
        <v>East</v>
      </c>
      <c r="R1240" t="str">
        <f>VLOOKUP(E1240,Sales_Reps!$A:$E,2,FALSE)</f>
        <v>Naveen Singh</v>
      </c>
      <c r="S1240">
        <f t="shared" si="19"/>
        <v>0.56137254901960787</v>
      </c>
    </row>
    <row r="1241" spans="1:19" x14ac:dyDescent="0.3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  <c r="L1241" t="str">
        <f>VLOOKUP(D1241,Products!$A:$F,3,FALSE)</f>
        <v>Electronics</v>
      </c>
      <c r="M1241" t="b">
        <f>VLOOKUP(D1241,Products!$A:$F,6,FALSE)</f>
        <v>1</v>
      </c>
      <c r="N1241">
        <f>VLOOKUP(D1241,Products!$A:$F,4,FALSE)</f>
        <v>2405</v>
      </c>
      <c r="O1241" t="str">
        <f>VLOOKUP(C1241,Customers!$A:$F,5,FALSE)</f>
        <v>Corporate</v>
      </c>
      <c r="P1241">
        <f>VLOOKUP(C1241,Customers!$A:$F,3,FALSE)</f>
        <v>33</v>
      </c>
      <c r="Q1241" t="str">
        <f>VLOOKUP(E1241,Sales_Reps!$A:$E,3,FALSE)</f>
        <v>South</v>
      </c>
      <c r="R1241" t="str">
        <f>VLOOKUP(E1241,Sales_Reps!$A:$E,2,FALSE)</f>
        <v>Anjali Chopra</v>
      </c>
      <c r="S1241">
        <f t="shared" si="19"/>
        <v>0.54878048780487809</v>
      </c>
    </row>
    <row r="1242" spans="1:19" x14ac:dyDescent="0.3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  <c r="L1242" t="str">
        <f>VLOOKUP(D1242,Products!$A:$F,3,FALSE)</f>
        <v>Sports</v>
      </c>
      <c r="M1242" t="b">
        <f>VLOOKUP(D1242,Products!$A:$F,6,FALSE)</f>
        <v>1</v>
      </c>
      <c r="N1242">
        <f>VLOOKUP(D1242,Products!$A:$F,4,FALSE)</f>
        <v>705</v>
      </c>
      <c r="O1242" t="str">
        <f>VLOOKUP(C1242,Customers!$A:$F,5,FALSE)</f>
        <v>SMB</v>
      </c>
      <c r="P1242">
        <f>VLOOKUP(C1242,Customers!$A:$F,3,FALSE)</f>
        <v>44</v>
      </c>
      <c r="Q1242" t="str">
        <f>VLOOKUP(E1242,Sales_Reps!$A:$E,3,FALSE)</f>
        <v>West</v>
      </c>
      <c r="R1242" t="str">
        <f>VLOOKUP(E1242,Sales_Reps!$A:$E,2,FALSE)</f>
        <v>Arun Iyer</v>
      </c>
      <c r="S1242">
        <f t="shared" si="19"/>
        <v>0.265625</v>
      </c>
    </row>
    <row r="1243" spans="1:19" x14ac:dyDescent="0.3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  <c r="L1243" t="str">
        <f>VLOOKUP(D1243,Products!$A:$F,3,FALSE)</f>
        <v>Apparel</v>
      </c>
      <c r="M1243" t="b">
        <f>VLOOKUP(D1243,Products!$A:$F,6,FALSE)</f>
        <v>1</v>
      </c>
      <c r="N1243">
        <f>VLOOKUP(D1243,Products!$A:$F,4,FALSE)</f>
        <v>2509</v>
      </c>
      <c r="O1243" t="str">
        <f>VLOOKUP(C1243,Customers!$A:$F,5,FALSE)</f>
        <v>Corporate</v>
      </c>
      <c r="P1243">
        <f>VLOOKUP(C1243,Customers!$A:$F,3,FALSE)</f>
        <v>46</v>
      </c>
      <c r="Q1243" t="str">
        <f>VLOOKUP(E1243,Sales_Reps!$A:$E,3,FALSE)</f>
        <v>East</v>
      </c>
      <c r="R1243" t="str">
        <f>VLOOKUP(E1243,Sales_Reps!$A:$E,2,FALSE)</f>
        <v>Nisha Menon</v>
      </c>
      <c r="S1243">
        <f t="shared" si="19"/>
        <v>0.3069060773480663</v>
      </c>
    </row>
    <row r="1244" spans="1:19" x14ac:dyDescent="0.3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  <c r="L1244" t="str">
        <f>VLOOKUP(D1244,Products!$A:$F,3,FALSE)</f>
        <v>Electronics</v>
      </c>
      <c r="M1244" t="b">
        <f>VLOOKUP(D1244,Products!$A:$F,6,FALSE)</f>
        <v>1</v>
      </c>
      <c r="N1244">
        <f>VLOOKUP(D1244,Products!$A:$F,4,FALSE)</f>
        <v>1052</v>
      </c>
      <c r="O1244" t="str">
        <f>VLOOKUP(C1244,Customers!$A:$F,5,FALSE)</f>
        <v>Retail</v>
      </c>
      <c r="P1244">
        <f>VLOOKUP(C1244,Customers!$A:$F,3,FALSE)</f>
        <v>35</v>
      </c>
      <c r="Q1244" t="str">
        <f>VLOOKUP(E1244,Sales_Reps!$A:$E,3,FALSE)</f>
        <v>North</v>
      </c>
      <c r="R1244" t="str">
        <f>VLOOKUP(E1244,Sales_Reps!$A:$E,2,FALSE)</f>
        <v>Neha Desai</v>
      </c>
      <c r="S1244">
        <f t="shared" si="19"/>
        <v>0.5953846153846154</v>
      </c>
    </row>
    <row r="1245" spans="1:19" x14ac:dyDescent="0.3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  <c r="L1245" t="str">
        <f>VLOOKUP(D1245,Products!$A:$F,3,FALSE)</f>
        <v>Electronics</v>
      </c>
      <c r="M1245" t="b">
        <f>VLOOKUP(D1245,Products!$A:$F,6,FALSE)</f>
        <v>0</v>
      </c>
      <c r="N1245">
        <f>VLOOKUP(D1245,Products!$A:$F,4,FALSE)</f>
        <v>1259</v>
      </c>
      <c r="O1245" t="str">
        <f>VLOOKUP(C1245,Customers!$A:$F,5,FALSE)</f>
        <v>Retail</v>
      </c>
      <c r="P1245">
        <f>VLOOKUP(C1245,Customers!$A:$F,3,FALSE)</f>
        <v>49</v>
      </c>
      <c r="Q1245" t="str">
        <f>VLOOKUP(E1245,Sales_Reps!$A:$E,3,FALSE)</f>
        <v>South</v>
      </c>
      <c r="R1245" t="str">
        <f>VLOOKUP(E1245,Sales_Reps!$A:$E,2,FALSE)</f>
        <v>Sanjay Kapoor</v>
      </c>
      <c r="S1245">
        <f t="shared" si="19"/>
        <v>0.52669172932330832</v>
      </c>
    </row>
    <row r="1246" spans="1:19" x14ac:dyDescent="0.3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  <c r="L1246" t="str">
        <f>VLOOKUP(D1246,Products!$A:$F,3,FALSE)</f>
        <v>Apparel</v>
      </c>
      <c r="M1246" t="b">
        <f>VLOOKUP(D1246,Products!$A:$F,6,FALSE)</f>
        <v>1</v>
      </c>
      <c r="N1246">
        <f>VLOOKUP(D1246,Products!$A:$F,4,FALSE)</f>
        <v>1173</v>
      </c>
      <c r="O1246" t="str">
        <f>VLOOKUP(C1246,Customers!$A:$F,5,FALSE)</f>
        <v>SMB</v>
      </c>
      <c r="P1246">
        <f>VLOOKUP(C1246,Customers!$A:$F,3,FALSE)</f>
        <v>65</v>
      </c>
      <c r="Q1246" t="str">
        <f>VLOOKUP(E1246,Sales_Reps!$A:$E,3,FALSE)</f>
        <v>East</v>
      </c>
      <c r="R1246" t="str">
        <f>VLOOKUP(E1246,Sales_Reps!$A:$E,2,FALSE)</f>
        <v>Nisha Menon</v>
      </c>
      <c r="S1246">
        <f t="shared" si="19"/>
        <v>0.52701612903225803</v>
      </c>
    </row>
    <row r="1247" spans="1:19" x14ac:dyDescent="0.3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  <c r="L1247" t="str">
        <f>VLOOKUP(D1247,Products!$A:$F,3,FALSE)</f>
        <v>Electronics</v>
      </c>
      <c r="M1247" t="b">
        <f>VLOOKUP(D1247,Products!$A:$F,6,FALSE)</f>
        <v>0</v>
      </c>
      <c r="N1247">
        <f>VLOOKUP(D1247,Products!$A:$F,4,FALSE)</f>
        <v>1259</v>
      </c>
      <c r="O1247" t="str">
        <f>VLOOKUP(C1247,Customers!$A:$F,5,FALSE)</f>
        <v>SMB</v>
      </c>
      <c r="P1247">
        <f>VLOOKUP(C1247,Customers!$A:$F,3,FALSE)</f>
        <v>38</v>
      </c>
      <c r="Q1247" t="str">
        <f>VLOOKUP(E1247,Sales_Reps!$A:$E,3,FALSE)</f>
        <v>South</v>
      </c>
      <c r="R1247" t="str">
        <f>VLOOKUP(E1247,Sales_Reps!$A:$E,2,FALSE)</f>
        <v>Deepak Shah</v>
      </c>
      <c r="S1247">
        <f t="shared" si="19"/>
        <v>0.52669172932330832</v>
      </c>
    </row>
    <row r="1248" spans="1:19" x14ac:dyDescent="0.3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  <c r="L1248" t="str">
        <f>VLOOKUP(D1248,Products!$A:$F,3,FALSE)</f>
        <v>Electronics</v>
      </c>
      <c r="M1248" t="b">
        <f>VLOOKUP(D1248,Products!$A:$F,6,FALSE)</f>
        <v>1</v>
      </c>
      <c r="N1248">
        <f>VLOOKUP(D1248,Products!$A:$F,4,FALSE)</f>
        <v>2405</v>
      </c>
      <c r="O1248" t="str">
        <f>VLOOKUP(C1248,Customers!$A:$F,5,FALSE)</f>
        <v>Retail</v>
      </c>
      <c r="P1248">
        <f>VLOOKUP(C1248,Customers!$A:$F,3,FALSE)</f>
        <v>35</v>
      </c>
      <c r="Q1248" t="str">
        <f>VLOOKUP(E1248,Sales_Reps!$A:$E,3,FALSE)</f>
        <v>South</v>
      </c>
      <c r="R1248" t="str">
        <f>VLOOKUP(E1248,Sales_Reps!$A:$E,2,FALSE)</f>
        <v>Divya Rao</v>
      </c>
      <c r="S1248">
        <f t="shared" si="19"/>
        <v>0.54878048780487809</v>
      </c>
    </row>
    <row r="1249" spans="1:19" x14ac:dyDescent="0.3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  <c r="L1249" t="str">
        <f>VLOOKUP(D1249,Products!$A:$F,3,FALSE)</f>
        <v>Sports</v>
      </c>
      <c r="M1249" t="b">
        <f>VLOOKUP(D1249,Products!$A:$F,6,FALSE)</f>
        <v>1</v>
      </c>
      <c r="N1249">
        <f>VLOOKUP(D1249,Products!$A:$F,4,FALSE)</f>
        <v>2467</v>
      </c>
      <c r="O1249" t="str">
        <f>VLOOKUP(C1249,Customers!$A:$F,5,FALSE)</f>
        <v>Retail</v>
      </c>
      <c r="P1249">
        <f>VLOOKUP(C1249,Customers!$A:$F,3,FALSE)</f>
        <v>53</v>
      </c>
      <c r="Q1249" t="str">
        <f>VLOOKUP(E1249,Sales_Reps!$A:$E,3,FALSE)</f>
        <v>West</v>
      </c>
      <c r="R1249" t="str">
        <f>VLOOKUP(E1249,Sales_Reps!$A:$E,2,FALSE)</f>
        <v>Ramesh Bhatt</v>
      </c>
      <c r="S1249">
        <f t="shared" si="19"/>
        <v>0.28492753623188405</v>
      </c>
    </row>
    <row r="1250" spans="1:19" x14ac:dyDescent="0.3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  <c r="L1250" t="str">
        <f>VLOOKUP(D1250,Products!$A:$F,3,FALSE)</f>
        <v>Sports</v>
      </c>
      <c r="M1250" t="b">
        <f>VLOOKUP(D1250,Products!$A:$F,6,FALSE)</f>
        <v>1</v>
      </c>
      <c r="N1250">
        <f>VLOOKUP(D1250,Products!$A:$F,4,FALSE)</f>
        <v>147</v>
      </c>
      <c r="O1250" t="str">
        <f>VLOOKUP(C1250,Customers!$A:$F,5,FALSE)</f>
        <v>Retail</v>
      </c>
      <c r="P1250">
        <f>VLOOKUP(C1250,Customers!$A:$F,3,FALSE)</f>
        <v>34</v>
      </c>
      <c r="Q1250" t="str">
        <f>VLOOKUP(E1250,Sales_Reps!$A:$E,3,FALSE)</f>
        <v>West</v>
      </c>
      <c r="R1250" t="str">
        <f>VLOOKUP(E1250,Sales_Reps!$A:$E,2,FALSE)</f>
        <v>Ashok Reddy</v>
      </c>
      <c r="S1250">
        <f t="shared" si="19"/>
        <v>0.22631578947368422</v>
      </c>
    </row>
    <row r="1251" spans="1:19" x14ac:dyDescent="0.3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  <c r="L1251" t="str">
        <f>VLOOKUP(D1251,Products!$A:$F,3,FALSE)</f>
        <v>Electronics</v>
      </c>
      <c r="M1251" t="b">
        <f>VLOOKUP(D1251,Products!$A:$F,6,FALSE)</f>
        <v>1</v>
      </c>
      <c r="N1251">
        <f>VLOOKUP(D1251,Products!$A:$F,4,FALSE)</f>
        <v>2865</v>
      </c>
      <c r="O1251" t="str">
        <f>VLOOKUP(C1251,Customers!$A:$F,5,FALSE)</f>
        <v>Corporate</v>
      </c>
      <c r="P1251">
        <f>VLOOKUP(C1251,Customers!$A:$F,3,FALSE)</f>
        <v>22</v>
      </c>
      <c r="Q1251" t="str">
        <f>VLOOKUP(E1251,Sales_Reps!$A:$E,3,FALSE)</f>
        <v>South</v>
      </c>
      <c r="R1251" t="str">
        <f>VLOOKUP(E1251,Sales_Reps!$A:$E,2,FALSE)</f>
        <v>Manoj Patel</v>
      </c>
      <c r="S1251">
        <f t="shared" si="19"/>
        <v>0.27833753148614609</v>
      </c>
    </row>
    <row r="1252" spans="1:19" x14ac:dyDescent="0.3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  <c r="L1252" t="str">
        <f>VLOOKUP(D1252,Products!$A:$F,3,FALSE)</f>
        <v>Home</v>
      </c>
      <c r="M1252" t="b">
        <f>VLOOKUP(D1252,Products!$A:$F,6,FALSE)</f>
        <v>1</v>
      </c>
      <c r="N1252">
        <f>VLOOKUP(D1252,Products!$A:$F,4,FALSE)</f>
        <v>1850</v>
      </c>
      <c r="O1252" t="str">
        <f>VLOOKUP(C1252,Customers!$A:$F,5,FALSE)</f>
        <v>Retail</v>
      </c>
      <c r="P1252">
        <f>VLOOKUP(C1252,Customers!$A:$F,3,FALSE)</f>
        <v>60</v>
      </c>
      <c r="Q1252" t="str">
        <f>VLOOKUP(E1252,Sales_Reps!$A:$E,3,FALSE)</f>
        <v>North</v>
      </c>
      <c r="R1252" t="str">
        <f>VLOOKUP(E1252,Sales_Reps!$A:$E,2,FALSE)</f>
        <v>Sunita Malhotra</v>
      </c>
      <c r="S1252">
        <f t="shared" si="19"/>
        <v>0.59869848156182215</v>
      </c>
    </row>
    <row r="1253" spans="1:19" x14ac:dyDescent="0.3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  <c r="L1253" t="str">
        <f>VLOOKUP(D1253,Products!$A:$F,3,FALSE)</f>
        <v>Apparel</v>
      </c>
      <c r="M1253" t="b">
        <f>VLOOKUP(D1253,Products!$A:$F,6,FALSE)</f>
        <v>1</v>
      </c>
      <c r="N1253">
        <f>VLOOKUP(D1253,Products!$A:$F,4,FALSE)</f>
        <v>396</v>
      </c>
      <c r="O1253" t="str">
        <f>VLOOKUP(C1253,Customers!$A:$F,5,FALSE)</f>
        <v>Retail</v>
      </c>
      <c r="P1253">
        <f>VLOOKUP(C1253,Customers!$A:$F,3,FALSE)</f>
        <v>50</v>
      </c>
      <c r="Q1253" t="str">
        <f>VLOOKUP(E1253,Sales_Reps!$A:$E,3,FALSE)</f>
        <v>West</v>
      </c>
      <c r="R1253" t="str">
        <f>VLOOKUP(E1253,Sales_Reps!$A:$E,2,FALSE)</f>
        <v>Ashok Reddy</v>
      </c>
      <c r="S1253">
        <f t="shared" si="19"/>
        <v>0.36129032258064514</v>
      </c>
    </row>
    <row r="1254" spans="1:19" x14ac:dyDescent="0.3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  <c r="L1254" t="str">
        <f>VLOOKUP(D1254,Products!$A:$F,3,FALSE)</f>
        <v>Beauty</v>
      </c>
      <c r="M1254" t="b">
        <f>VLOOKUP(D1254,Products!$A:$F,6,FALSE)</f>
        <v>0</v>
      </c>
      <c r="N1254">
        <f>VLOOKUP(D1254,Products!$A:$F,4,FALSE)</f>
        <v>647</v>
      </c>
      <c r="O1254" t="str">
        <f>VLOOKUP(C1254,Customers!$A:$F,5,FALSE)</f>
        <v>Corporate</v>
      </c>
      <c r="P1254">
        <f>VLOOKUP(C1254,Customers!$A:$F,3,FALSE)</f>
        <v>43</v>
      </c>
      <c r="Q1254" t="str">
        <f>VLOOKUP(E1254,Sales_Reps!$A:$E,3,FALSE)</f>
        <v>West</v>
      </c>
      <c r="R1254" t="str">
        <f>VLOOKUP(E1254,Sales_Reps!$A:$E,2,FALSE)</f>
        <v>Ashok Reddy</v>
      </c>
      <c r="S1254">
        <f t="shared" si="19"/>
        <v>0.57987012987012987</v>
      </c>
    </row>
    <row r="1255" spans="1:19" x14ac:dyDescent="0.3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  <c r="L1255" t="str">
        <f>VLOOKUP(D1255,Products!$A:$F,3,FALSE)</f>
        <v>Sports</v>
      </c>
      <c r="M1255" t="b">
        <f>VLOOKUP(D1255,Products!$A:$F,6,FALSE)</f>
        <v>0</v>
      </c>
      <c r="N1255">
        <f>VLOOKUP(D1255,Products!$A:$F,4,FALSE)</f>
        <v>302</v>
      </c>
      <c r="O1255" t="str">
        <f>VLOOKUP(C1255,Customers!$A:$F,5,FALSE)</f>
        <v>Retail</v>
      </c>
      <c r="P1255">
        <f>VLOOKUP(C1255,Customers!$A:$F,3,FALSE)</f>
        <v>22</v>
      </c>
      <c r="Q1255" t="str">
        <f>VLOOKUP(E1255,Sales_Reps!$A:$E,3,FALSE)</f>
        <v>East</v>
      </c>
      <c r="R1255" t="str">
        <f>VLOOKUP(E1255,Sales_Reps!$A:$E,2,FALSE)</f>
        <v>Naveen Singh</v>
      </c>
      <c r="S1255">
        <f t="shared" si="19"/>
        <v>0.35744680851063831</v>
      </c>
    </row>
    <row r="1256" spans="1:19" x14ac:dyDescent="0.3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  <c r="L1256" t="str">
        <f>VLOOKUP(D1256,Products!$A:$F,3,FALSE)</f>
        <v>Beauty</v>
      </c>
      <c r="M1256" t="b">
        <f>VLOOKUP(D1256,Products!$A:$F,6,FALSE)</f>
        <v>1</v>
      </c>
      <c r="N1256">
        <f>VLOOKUP(D1256,Products!$A:$F,4,FALSE)</f>
        <v>2768</v>
      </c>
      <c r="O1256" t="str">
        <f>VLOOKUP(C1256,Customers!$A:$F,5,FALSE)</f>
        <v>Retail</v>
      </c>
      <c r="P1256">
        <f>VLOOKUP(C1256,Customers!$A:$F,3,FALSE)</f>
        <v>47</v>
      </c>
      <c r="Q1256" t="str">
        <f>VLOOKUP(E1256,Sales_Reps!$A:$E,3,FALSE)</f>
        <v>North</v>
      </c>
      <c r="R1256" t="str">
        <f>VLOOKUP(E1256,Sales_Reps!$A:$E,2,FALSE)</f>
        <v>Sunita Malhotra</v>
      </c>
      <c r="S1256">
        <f t="shared" si="19"/>
        <v>0.43278688524590164</v>
      </c>
    </row>
    <row r="1257" spans="1:19" x14ac:dyDescent="0.3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  <c r="L1257" t="str">
        <f>VLOOKUP(D1257,Products!$A:$F,3,FALSE)</f>
        <v>Sports</v>
      </c>
      <c r="M1257" t="b">
        <f>VLOOKUP(D1257,Products!$A:$F,6,FALSE)</f>
        <v>1</v>
      </c>
      <c r="N1257">
        <f>VLOOKUP(D1257,Products!$A:$F,4,FALSE)</f>
        <v>2265</v>
      </c>
      <c r="O1257" t="str">
        <f>VLOOKUP(C1257,Customers!$A:$F,5,FALSE)</f>
        <v>SMB</v>
      </c>
      <c r="P1257">
        <f>VLOOKUP(C1257,Customers!$A:$F,3,FALSE)</f>
        <v>53</v>
      </c>
      <c r="Q1257" t="str">
        <f>VLOOKUP(E1257,Sales_Reps!$A:$E,3,FALSE)</f>
        <v>West</v>
      </c>
      <c r="R1257" t="str">
        <f>VLOOKUP(E1257,Sales_Reps!$A:$E,2,FALSE)</f>
        <v>Arun Iyer</v>
      </c>
      <c r="S1257">
        <f t="shared" si="19"/>
        <v>0.58133086876155271</v>
      </c>
    </row>
    <row r="1258" spans="1:19" x14ac:dyDescent="0.3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  <c r="L1258" t="str">
        <f>VLOOKUP(D1258,Products!$A:$F,3,FALSE)</f>
        <v>Electronics</v>
      </c>
      <c r="M1258" t="b">
        <f>VLOOKUP(D1258,Products!$A:$F,6,FALSE)</f>
        <v>1</v>
      </c>
      <c r="N1258">
        <f>VLOOKUP(D1258,Products!$A:$F,4,FALSE)</f>
        <v>1559</v>
      </c>
      <c r="O1258" t="str">
        <f>VLOOKUP(C1258,Customers!$A:$F,5,FALSE)</f>
        <v>SMB</v>
      </c>
      <c r="P1258">
        <f>VLOOKUP(C1258,Customers!$A:$F,3,FALSE)</f>
        <v>55</v>
      </c>
      <c r="Q1258" t="str">
        <f>VLOOKUP(E1258,Sales_Reps!$A:$E,3,FALSE)</f>
        <v>East</v>
      </c>
      <c r="R1258" t="str">
        <f>VLOOKUP(E1258,Sales_Reps!$A:$E,2,FALSE)</f>
        <v>Nisha Menon</v>
      </c>
      <c r="S1258">
        <f t="shared" si="19"/>
        <v>0.59715762273901807</v>
      </c>
    </row>
    <row r="1259" spans="1:19" x14ac:dyDescent="0.3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  <c r="L1259" t="str">
        <f>VLOOKUP(D1259,Products!$A:$F,3,FALSE)</f>
        <v>Electronics</v>
      </c>
      <c r="M1259" t="b">
        <f>VLOOKUP(D1259,Products!$A:$F,6,FALSE)</f>
        <v>1</v>
      </c>
      <c r="N1259">
        <f>VLOOKUP(D1259,Products!$A:$F,4,FALSE)</f>
        <v>1149</v>
      </c>
      <c r="O1259" t="str">
        <f>VLOOKUP(C1259,Customers!$A:$F,5,FALSE)</f>
        <v>SMB</v>
      </c>
      <c r="P1259">
        <f>VLOOKUP(C1259,Customers!$A:$F,3,FALSE)</f>
        <v>26</v>
      </c>
      <c r="Q1259" t="str">
        <f>VLOOKUP(E1259,Sales_Reps!$A:$E,3,FALSE)</f>
        <v>East</v>
      </c>
      <c r="R1259" t="str">
        <f>VLOOKUP(E1259,Sales_Reps!$A:$E,2,FALSE)</f>
        <v>Naveen Singh</v>
      </c>
      <c r="S1259">
        <f t="shared" si="19"/>
        <v>0.56477272727272732</v>
      </c>
    </row>
    <row r="1260" spans="1:19" x14ac:dyDescent="0.3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  <c r="L1260" t="str">
        <f>VLOOKUP(D1260,Products!$A:$F,3,FALSE)</f>
        <v>Home</v>
      </c>
      <c r="M1260" t="b">
        <f>VLOOKUP(D1260,Products!$A:$F,6,FALSE)</f>
        <v>1</v>
      </c>
      <c r="N1260">
        <f>VLOOKUP(D1260,Products!$A:$F,4,FALSE)</f>
        <v>2459</v>
      </c>
      <c r="O1260" t="str">
        <f>VLOOKUP(C1260,Customers!$A:$F,5,FALSE)</f>
        <v>Corporate</v>
      </c>
      <c r="P1260">
        <f>VLOOKUP(C1260,Customers!$A:$F,3,FALSE)</f>
        <v>22</v>
      </c>
      <c r="Q1260" t="str">
        <f>VLOOKUP(E1260,Sales_Reps!$A:$E,3,FALSE)</f>
        <v>North</v>
      </c>
      <c r="R1260" t="str">
        <f>VLOOKUP(E1260,Sales_Reps!$A:$E,2,FALSE)</f>
        <v>Suresh Menon</v>
      </c>
      <c r="S1260">
        <f t="shared" si="19"/>
        <v>0.51594488188976373</v>
      </c>
    </row>
    <row r="1261" spans="1:19" x14ac:dyDescent="0.3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  <c r="L1261" t="str">
        <f>VLOOKUP(D1261,Products!$A:$F,3,FALSE)</f>
        <v>Home</v>
      </c>
      <c r="M1261" t="b">
        <f>VLOOKUP(D1261,Products!$A:$F,6,FALSE)</f>
        <v>1</v>
      </c>
      <c r="N1261">
        <f>VLOOKUP(D1261,Products!$A:$F,4,FALSE)</f>
        <v>1556</v>
      </c>
      <c r="O1261" t="str">
        <f>VLOOKUP(C1261,Customers!$A:$F,5,FALSE)</f>
        <v>SMB</v>
      </c>
      <c r="P1261">
        <f>VLOOKUP(C1261,Customers!$A:$F,3,FALSE)</f>
        <v>46</v>
      </c>
      <c r="Q1261" t="str">
        <f>VLOOKUP(E1261,Sales_Reps!$A:$E,3,FALSE)</f>
        <v>East</v>
      </c>
      <c r="R1261" t="str">
        <f>VLOOKUP(E1261,Sales_Reps!$A:$E,2,FALSE)</f>
        <v>Shalini Patel</v>
      </c>
      <c r="S1261">
        <f t="shared" si="19"/>
        <v>0.52123076923076928</v>
      </c>
    </row>
    <row r="1262" spans="1:19" x14ac:dyDescent="0.3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  <c r="L1262" t="str">
        <f>VLOOKUP(D1262,Products!$A:$F,3,FALSE)</f>
        <v>Electronics</v>
      </c>
      <c r="M1262" t="b">
        <f>VLOOKUP(D1262,Products!$A:$F,6,FALSE)</f>
        <v>1</v>
      </c>
      <c r="N1262">
        <f>VLOOKUP(D1262,Products!$A:$F,4,FALSE)</f>
        <v>2865</v>
      </c>
      <c r="O1262" t="str">
        <f>VLOOKUP(C1262,Customers!$A:$F,5,FALSE)</f>
        <v>Retail</v>
      </c>
      <c r="P1262">
        <f>VLOOKUP(C1262,Customers!$A:$F,3,FALSE)</f>
        <v>49</v>
      </c>
      <c r="Q1262" t="str">
        <f>VLOOKUP(E1262,Sales_Reps!$A:$E,3,FALSE)</f>
        <v>North</v>
      </c>
      <c r="R1262" t="str">
        <f>VLOOKUP(E1262,Sales_Reps!$A:$E,2,FALSE)</f>
        <v>Sunita Malhotra</v>
      </c>
      <c r="S1262">
        <f t="shared" si="19"/>
        <v>0.27833753148614609</v>
      </c>
    </row>
    <row r="1263" spans="1:19" x14ac:dyDescent="0.3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  <c r="L1263" t="str">
        <f>VLOOKUP(D1263,Products!$A:$F,3,FALSE)</f>
        <v>Home</v>
      </c>
      <c r="M1263" t="b">
        <f>VLOOKUP(D1263,Products!$A:$F,6,FALSE)</f>
        <v>1</v>
      </c>
      <c r="N1263">
        <f>VLOOKUP(D1263,Products!$A:$F,4,FALSE)</f>
        <v>329</v>
      </c>
      <c r="O1263" t="str">
        <f>VLOOKUP(C1263,Customers!$A:$F,5,FALSE)</f>
        <v>Retail</v>
      </c>
      <c r="P1263">
        <f>VLOOKUP(C1263,Customers!$A:$F,3,FALSE)</f>
        <v>29</v>
      </c>
      <c r="Q1263" t="str">
        <f>VLOOKUP(E1263,Sales_Reps!$A:$E,3,FALSE)</f>
        <v>East</v>
      </c>
      <c r="R1263" t="str">
        <f>VLOOKUP(E1263,Sales_Reps!$A:$E,2,FALSE)</f>
        <v>Naveen Singh</v>
      </c>
      <c r="S1263">
        <f t="shared" si="19"/>
        <v>0.50151515151515147</v>
      </c>
    </row>
    <row r="1264" spans="1:19" x14ac:dyDescent="0.3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  <c r="L1264" t="str">
        <f>VLOOKUP(D1264,Products!$A:$F,3,FALSE)</f>
        <v>Electronics</v>
      </c>
      <c r="M1264" t="b">
        <f>VLOOKUP(D1264,Products!$A:$F,6,FALSE)</f>
        <v>1</v>
      </c>
      <c r="N1264">
        <f>VLOOKUP(D1264,Products!$A:$F,4,FALSE)</f>
        <v>1052</v>
      </c>
      <c r="O1264" t="str">
        <f>VLOOKUP(C1264,Customers!$A:$F,5,FALSE)</f>
        <v>Retail</v>
      </c>
      <c r="P1264">
        <f>VLOOKUP(C1264,Customers!$A:$F,3,FALSE)</f>
        <v>42</v>
      </c>
      <c r="Q1264" t="str">
        <f>VLOOKUP(E1264,Sales_Reps!$A:$E,3,FALSE)</f>
        <v>East</v>
      </c>
      <c r="R1264" t="str">
        <f>VLOOKUP(E1264,Sales_Reps!$A:$E,2,FALSE)</f>
        <v>Nisha Menon</v>
      </c>
      <c r="S1264">
        <f t="shared" si="19"/>
        <v>0.5953846153846154</v>
      </c>
    </row>
    <row r="1265" spans="1:19" x14ac:dyDescent="0.3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  <c r="L1265" t="str">
        <f>VLOOKUP(D1265,Products!$A:$F,3,FALSE)</f>
        <v>Home</v>
      </c>
      <c r="M1265" t="b">
        <f>VLOOKUP(D1265,Products!$A:$F,6,FALSE)</f>
        <v>1</v>
      </c>
      <c r="N1265">
        <f>VLOOKUP(D1265,Products!$A:$F,4,FALSE)</f>
        <v>329</v>
      </c>
      <c r="O1265" t="str">
        <f>VLOOKUP(C1265,Customers!$A:$F,5,FALSE)</f>
        <v>Corporate</v>
      </c>
      <c r="P1265">
        <f>VLOOKUP(C1265,Customers!$A:$F,3,FALSE)</f>
        <v>40</v>
      </c>
      <c r="Q1265" t="str">
        <f>VLOOKUP(E1265,Sales_Reps!$A:$E,3,FALSE)</f>
        <v>South</v>
      </c>
      <c r="R1265" t="str">
        <f>VLOOKUP(E1265,Sales_Reps!$A:$E,2,FALSE)</f>
        <v>Deepak Shah</v>
      </c>
      <c r="S1265">
        <f t="shared" si="19"/>
        <v>0.50151515151515147</v>
      </c>
    </row>
    <row r="1266" spans="1:19" x14ac:dyDescent="0.3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  <c r="L1266" t="str">
        <f>VLOOKUP(D1266,Products!$A:$F,3,FALSE)</f>
        <v>Grocery</v>
      </c>
      <c r="M1266" t="b">
        <f>VLOOKUP(D1266,Products!$A:$F,6,FALSE)</f>
        <v>1</v>
      </c>
      <c r="N1266">
        <f>VLOOKUP(D1266,Products!$A:$F,4,FALSE)</f>
        <v>1182</v>
      </c>
      <c r="O1266" t="str">
        <f>VLOOKUP(C1266,Customers!$A:$F,5,FALSE)</f>
        <v>SMB</v>
      </c>
      <c r="P1266">
        <f>VLOOKUP(C1266,Customers!$A:$F,3,FALSE)</f>
        <v>55</v>
      </c>
      <c r="Q1266" t="str">
        <f>VLOOKUP(E1266,Sales_Reps!$A:$E,3,FALSE)</f>
        <v>East</v>
      </c>
      <c r="R1266" t="str">
        <f>VLOOKUP(E1266,Sales_Reps!$A:$E,2,FALSE)</f>
        <v>Gaurav Desai</v>
      </c>
      <c r="S1266">
        <f t="shared" si="19"/>
        <v>0.50336134453781511</v>
      </c>
    </row>
    <row r="1267" spans="1:19" x14ac:dyDescent="0.3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  <c r="L1267" t="str">
        <f>VLOOKUP(D1267,Products!$A:$F,3,FALSE)</f>
        <v>Beauty</v>
      </c>
      <c r="M1267" t="b">
        <f>VLOOKUP(D1267,Products!$A:$F,6,FALSE)</f>
        <v>1</v>
      </c>
      <c r="N1267">
        <f>VLOOKUP(D1267,Products!$A:$F,4,FALSE)</f>
        <v>1222</v>
      </c>
      <c r="O1267" t="str">
        <f>VLOOKUP(C1267,Customers!$A:$F,5,FALSE)</f>
        <v>Retail</v>
      </c>
      <c r="P1267">
        <f>VLOOKUP(C1267,Customers!$A:$F,3,FALSE)</f>
        <v>28</v>
      </c>
      <c r="Q1267" t="str">
        <f>VLOOKUP(E1267,Sales_Reps!$A:$E,3,FALSE)</f>
        <v>South</v>
      </c>
      <c r="R1267" t="str">
        <f>VLOOKUP(E1267,Sales_Reps!$A:$E,2,FALSE)</f>
        <v>Divya Rao</v>
      </c>
      <c r="S1267">
        <f t="shared" si="19"/>
        <v>0.2593939393939394</v>
      </c>
    </row>
    <row r="1268" spans="1:19" x14ac:dyDescent="0.3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  <c r="L1268" t="str">
        <f>VLOOKUP(D1268,Products!$A:$F,3,FALSE)</f>
        <v>Electronics</v>
      </c>
      <c r="M1268" t="b">
        <f>VLOOKUP(D1268,Products!$A:$F,6,FALSE)</f>
        <v>1</v>
      </c>
      <c r="N1268">
        <f>VLOOKUP(D1268,Products!$A:$F,4,FALSE)</f>
        <v>1149</v>
      </c>
      <c r="O1268" t="e">
        <f>VLOOKUP(C1268,Customers!$A:$F,5,FALSE)</f>
        <v>#N/A</v>
      </c>
      <c r="P1268" t="e">
        <f>VLOOKUP(C1268,Customers!$A:$F,3,FALSE)</f>
        <v>#N/A</v>
      </c>
      <c r="Q1268" t="str">
        <f>VLOOKUP(E1268,Sales_Reps!$A:$E,3,FALSE)</f>
        <v>North</v>
      </c>
      <c r="R1268" t="str">
        <f>VLOOKUP(E1268,Sales_Reps!$A:$E,2,FALSE)</f>
        <v>Neha Desai</v>
      </c>
      <c r="S1268">
        <f t="shared" si="19"/>
        <v>0.56477272727272732</v>
      </c>
    </row>
    <row r="1269" spans="1:19" x14ac:dyDescent="0.3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  <c r="L1269" t="str">
        <f>VLOOKUP(D1269,Products!$A:$F,3,FALSE)</f>
        <v>Grocery</v>
      </c>
      <c r="M1269" t="b">
        <f>VLOOKUP(D1269,Products!$A:$F,6,FALSE)</f>
        <v>1</v>
      </c>
      <c r="N1269">
        <f>VLOOKUP(D1269,Products!$A:$F,4,FALSE)</f>
        <v>1182</v>
      </c>
      <c r="O1269" t="str">
        <f>VLOOKUP(C1269,Customers!$A:$F,5,FALSE)</f>
        <v>Retail</v>
      </c>
      <c r="P1269">
        <f>VLOOKUP(C1269,Customers!$A:$F,3,FALSE)</f>
        <v>39</v>
      </c>
      <c r="Q1269" t="str">
        <f>VLOOKUP(E1269,Sales_Reps!$A:$E,3,FALSE)</f>
        <v>South</v>
      </c>
      <c r="R1269" t="str">
        <f>VLOOKUP(E1269,Sales_Reps!$A:$E,2,FALSE)</f>
        <v>Sanjay Kapoor</v>
      </c>
      <c r="S1269">
        <f t="shared" si="19"/>
        <v>0.50336134453781511</v>
      </c>
    </row>
    <row r="1270" spans="1:19" x14ac:dyDescent="0.3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  <c r="L1270" t="str">
        <f>VLOOKUP(D1270,Products!$A:$F,3,FALSE)</f>
        <v>Grocery</v>
      </c>
      <c r="M1270" t="b">
        <f>VLOOKUP(D1270,Products!$A:$F,6,FALSE)</f>
        <v>1</v>
      </c>
      <c r="N1270">
        <f>VLOOKUP(D1270,Products!$A:$F,4,FALSE)</f>
        <v>1010</v>
      </c>
      <c r="O1270" t="str">
        <f>VLOOKUP(C1270,Customers!$A:$F,5,FALSE)</f>
        <v>SMB</v>
      </c>
      <c r="P1270">
        <f>VLOOKUP(C1270,Customers!$A:$F,3,FALSE)</f>
        <v>55</v>
      </c>
      <c r="Q1270" t="str">
        <f>VLOOKUP(E1270,Sales_Reps!$A:$E,3,FALSE)</f>
        <v>North</v>
      </c>
      <c r="R1270" t="str">
        <f>VLOOKUP(E1270,Sales_Reps!$A:$E,2,FALSE)</f>
        <v>Suresh Menon</v>
      </c>
      <c r="S1270">
        <f t="shared" si="19"/>
        <v>0.54298642533936647</v>
      </c>
    </row>
    <row r="1271" spans="1:19" x14ac:dyDescent="0.3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  <c r="L1271" t="str">
        <f>VLOOKUP(D1271,Products!$A:$F,3,FALSE)</f>
        <v>Beauty</v>
      </c>
      <c r="M1271" t="b">
        <f>VLOOKUP(D1271,Products!$A:$F,6,FALSE)</f>
        <v>1</v>
      </c>
      <c r="N1271">
        <f>VLOOKUP(D1271,Products!$A:$F,4,FALSE)</f>
        <v>2617</v>
      </c>
      <c r="O1271" t="str">
        <f>VLOOKUP(C1271,Customers!$A:$F,5,FALSE)</f>
        <v>Retail</v>
      </c>
      <c r="P1271">
        <f>VLOOKUP(C1271,Customers!$A:$F,3,FALSE)</f>
        <v>52</v>
      </c>
      <c r="Q1271" t="str">
        <f>VLOOKUP(E1271,Sales_Reps!$A:$E,3,FALSE)</f>
        <v>East</v>
      </c>
      <c r="R1271" t="str">
        <f>VLOOKUP(E1271,Sales_Reps!$A:$E,2,FALSE)</f>
        <v>Shalini Patel</v>
      </c>
      <c r="S1271">
        <f t="shared" si="19"/>
        <v>0.56957236842105263</v>
      </c>
    </row>
    <row r="1272" spans="1:19" x14ac:dyDescent="0.3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  <c r="L1272" t="str">
        <f>VLOOKUP(D1272,Products!$A:$F,3,FALSE)</f>
        <v>Sports</v>
      </c>
      <c r="M1272" t="b">
        <f>VLOOKUP(D1272,Products!$A:$F,6,FALSE)</f>
        <v>1</v>
      </c>
      <c r="N1272">
        <f>VLOOKUP(D1272,Products!$A:$F,4,FALSE)</f>
        <v>516</v>
      </c>
      <c r="O1272" t="str">
        <f>VLOOKUP(C1272,Customers!$A:$F,5,FALSE)</f>
        <v>Retail</v>
      </c>
      <c r="P1272">
        <f>VLOOKUP(C1272,Customers!$A:$F,3,FALSE)</f>
        <v>65</v>
      </c>
      <c r="Q1272" t="str">
        <f>VLOOKUP(E1272,Sales_Reps!$A:$E,3,FALSE)</f>
        <v>East</v>
      </c>
      <c r="R1272" t="str">
        <f>VLOOKUP(E1272,Sales_Reps!$A:$E,2,FALSE)</f>
        <v>Nisha Menon</v>
      </c>
      <c r="S1272">
        <f t="shared" si="19"/>
        <v>0.4891089108910891</v>
      </c>
    </row>
    <row r="1273" spans="1:19" x14ac:dyDescent="0.3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  <c r="L1273" t="str">
        <f>VLOOKUP(D1273,Products!$A:$F,3,FALSE)</f>
        <v>Grocery</v>
      </c>
      <c r="M1273" t="b">
        <f>VLOOKUP(D1273,Products!$A:$F,6,FALSE)</f>
        <v>0</v>
      </c>
      <c r="N1273">
        <f>VLOOKUP(D1273,Products!$A:$F,4,FALSE)</f>
        <v>2214</v>
      </c>
      <c r="O1273" t="str">
        <f>VLOOKUP(C1273,Customers!$A:$F,5,FALSE)</f>
        <v>Retail</v>
      </c>
      <c r="P1273">
        <f>VLOOKUP(C1273,Customers!$A:$F,3,FALSE)</f>
        <v>65</v>
      </c>
      <c r="Q1273" t="str">
        <f>VLOOKUP(E1273,Sales_Reps!$A:$E,3,FALSE)</f>
        <v>South</v>
      </c>
      <c r="R1273" t="str">
        <f>VLOOKUP(E1273,Sales_Reps!$A:$E,2,FALSE)</f>
        <v>Anil Verma</v>
      </c>
      <c r="S1273">
        <f t="shared" si="19"/>
        <v>0.39508196721311473</v>
      </c>
    </row>
    <row r="1274" spans="1:19" x14ac:dyDescent="0.3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  <c r="L1274" t="str">
        <f>VLOOKUP(D1274,Products!$A:$F,3,FALSE)</f>
        <v>Home</v>
      </c>
      <c r="M1274" t="b">
        <f>VLOOKUP(D1274,Products!$A:$F,6,FALSE)</f>
        <v>1</v>
      </c>
      <c r="N1274">
        <f>VLOOKUP(D1274,Products!$A:$F,4,FALSE)</f>
        <v>1850</v>
      </c>
      <c r="O1274" t="str">
        <f>VLOOKUP(C1274,Customers!$A:$F,5,FALSE)</f>
        <v>SMB</v>
      </c>
      <c r="P1274">
        <f>VLOOKUP(C1274,Customers!$A:$F,3,FALSE)</f>
        <v>49</v>
      </c>
      <c r="Q1274" t="str">
        <f>VLOOKUP(E1274,Sales_Reps!$A:$E,3,FALSE)</f>
        <v>West</v>
      </c>
      <c r="R1274" t="str">
        <f>VLOOKUP(E1274,Sales_Reps!$A:$E,2,FALSE)</f>
        <v>Arun Iyer</v>
      </c>
      <c r="S1274">
        <f t="shared" si="19"/>
        <v>0.59869848156182215</v>
      </c>
    </row>
    <row r="1275" spans="1:19" x14ac:dyDescent="0.3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  <c r="L1275" t="str">
        <f>VLOOKUP(D1275,Products!$A:$F,3,FALSE)</f>
        <v>Beauty</v>
      </c>
      <c r="M1275" t="b">
        <f>VLOOKUP(D1275,Products!$A:$F,6,FALSE)</f>
        <v>1</v>
      </c>
      <c r="N1275">
        <f>VLOOKUP(D1275,Products!$A:$F,4,FALSE)</f>
        <v>2237</v>
      </c>
      <c r="O1275" t="str">
        <f>VLOOKUP(C1275,Customers!$A:$F,5,FALSE)</f>
        <v>SMB</v>
      </c>
      <c r="P1275">
        <f>VLOOKUP(C1275,Customers!$A:$F,3,FALSE)</f>
        <v>49</v>
      </c>
      <c r="Q1275" t="str">
        <f>VLOOKUP(E1275,Sales_Reps!$A:$E,3,FALSE)</f>
        <v>North</v>
      </c>
      <c r="R1275" t="str">
        <f>VLOOKUP(E1275,Sales_Reps!$A:$E,2,FALSE)</f>
        <v>Neha Desai</v>
      </c>
      <c r="S1275">
        <f t="shared" si="19"/>
        <v>0.56137254901960787</v>
      </c>
    </row>
    <row r="1276" spans="1:19" x14ac:dyDescent="0.3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  <c r="L1276" t="str">
        <f>VLOOKUP(D1276,Products!$A:$F,3,FALSE)</f>
        <v>Beauty</v>
      </c>
      <c r="M1276" t="b">
        <f>VLOOKUP(D1276,Products!$A:$F,6,FALSE)</f>
        <v>1</v>
      </c>
      <c r="N1276">
        <f>VLOOKUP(D1276,Products!$A:$F,4,FALSE)</f>
        <v>1626</v>
      </c>
      <c r="O1276" t="str">
        <f>VLOOKUP(C1276,Customers!$A:$F,5,FALSE)</f>
        <v>Retail</v>
      </c>
      <c r="P1276">
        <f>VLOOKUP(C1276,Customers!$A:$F,3,FALSE)</f>
        <v>59</v>
      </c>
      <c r="Q1276" t="str">
        <f>VLOOKUP(E1276,Sales_Reps!$A:$E,3,FALSE)</f>
        <v>East</v>
      </c>
      <c r="R1276" t="str">
        <f>VLOOKUP(E1276,Sales_Reps!$A:$E,2,FALSE)</f>
        <v>Prakash Shah</v>
      </c>
      <c r="S1276">
        <f t="shared" si="19"/>
        <v>0.46158940397350995</v>
      </c>
    </row>
    <row r="1277" spans="1:19" x14ac:dyDescent="0.3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  <c r="L1277" t="str">
        <f>VLOOKUP(D1277,Products!$A:$F,3,FALSE)</f>
        <v>Sports</v>
      </c>
      <c r="M1277" t="b">
        <f>VLOOKUP(D1277,Products!$A:$F,6,FALSE)</f>
        <v>1</v>
      </c>
      <c r="N1277">
        <f>VLOOKUP(D1277,Products!$A:$F,4,FALSE)</f>
        <v>1860</v>
      </c>
      <c r="O1277" t="str">
        <f>VLOOKUP(C1277,Customers!$A:$F,5,FALSE)</f>
        <v>Retail</v>
      </c>
      <c r="P1277">
        <f>VLOOKUP(C1277,Customers!$A:$F,3,FALSE)</f>
        <v>52</v>
      </c>
      <c r="Q1277" t="str">
        <f>VLOOKUP(E1277,Sales_Reps!$A:$E,3,FALSE)</f>
        <v>South</v>
      </c>
      <c r="R1277" t="str">
        <f>VLOOKUP(E1277,Sales_Reps!$A:$E,2,FALSE)</f>
        <v>Deepak Shah</v>
      </c>
      <c r="S1277">
        <f t="shared" si="19"/>
        <v>0.50793650793650791</v>
      </c>
    </row>
    <row r="1278" spans="1:19" x14ac:dyDescent="0.3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  <c r="L1278" t="str">
        <f>VLOOKUP(D1278,Products!$A:$F,3,FALSE)</f>
        <v>Grocery</v>
      </c>
      <c r="M1278" t="b">
        <f>VLOOKUP(D1278,Products!$A:$F,6,FALSE)</f>
        <v>1</v>
      </c>
      <c r="N1278">
        <f>VLOOKUP(D1278,Products!$A:$F,4,FALSE)</f>
        <v>1010</v>
      </c>
      <c r="O1278" t="str">
        <f>VLOOKUP(C1278,Customers!$A:$F,5,FALSE)</f>
        <v>Corporate</v>
      </c>
      <c r="P1278">
        <f>VLOOKUP(C1278,Customers!$A:$F,3,FALSE)</f>
        <v>47</v>
      </c>
      <c r="Q1278" t="str">
        <f>VLOOKUP(E1278,Sales_Reps!$A:$E,3,FALSE)</f>
        <v>North</v>
      </c>
      <c r="R1278" t="str">
        <f>VLOOKUP(E1278,Sales_Reps!$A:$E,2,FALSE)</f>
        <v>Rajesh Malhotra</v>
      </c>
      <c r="S1278">
        <f t="shared" si="19"/>
        <v>0.54298642533936647</v>
      </c>
    </row>
    <row r="1279" spans="1:19" x14ac:dyDescent="0.3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  <c r="L1279" t="str">
        <f>VLOOKUP(D1279,Products!$A:$F,3,FALSE)</f>
        <v>Grocery</v>
      </c>
      <c r="M1279" t="b">
        <f>VLOOKUP(D1279,Products!$A:$F,6,FALSE)</f>
        <v>1</v>
      </c>
      <c r="N1279">
        <f>VLOOKUP(D1279,Products!$A:$F,4,FALSE)</f>
        <v>1010</v>
      </c>
      <c r="O1279" t="str">
        <f>VLOOKUP(C1279,Customers!$A:$F,5,FALSE)</f>
        <v>Retail</v>
      </c>
      <c r="P1279">
        <f>VLOOKUP(C1279,Customers!$A:$F,3,FALSE)</f>
        <v>42</v>
      </c>
      <c r="Q1279" t="str">
        <f>VLOOKUP(E1279,Sales_Reps!$A:$E,3,FALSE)</f>
        <v>South</v>
      </c>
      <c r="R1279" t="str">
        <f>VLOOKUP(E1279,Sales_Reps!$A:$E,2,FALSE)</f>
        <v>Deepak Shah</v>
      </c>
      <c r="S1279">
        <f t="shared" si="19"/>
        <v>0.54298642533936647</v>
      </c>
    </row>
    <row r="1280" spans="1:19" x14ac:dyDescent="0.3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  <c r="L1280" t="str">
        <f>VLOOKUP(D1280,Products!$A:$F,3,FALSE)</f>
        <v>Beauty</v>
      </c>
      <c r="M1280" t="b">
        <f>VLOOKUP(D1280,Products!$A:$F,6,FALSE)</f>
        <v>1</v>
      </c>
      <c r="N1280">
        <f>VLOOKUP(D1280,Products!$A:$F,4,FALSE)</f>
        <v>1222</v>
      </c>
      <c r="O1280" t="str">
        <f>VLOOKUP(C1280,Customers!$A:$F,5,FALSE)</f>
        <v>Corporate</v>
      </c>
      <c r="P1280">
        <f>VLOOKUP(C1280,Customers!$A:$F,3,FALSE)</f>
        <v>37</v>
      </c>
      <c r="Q1280" t="str">
        <f>VLOOKUP(E1280,Sales_Reps!$A:$E,3,FALSE)</f>
        <v>South</v>
      </c>
      <c r="R1280" t="str">
        <f>VLOOKUP(E1280,Sales_Reps!$A:$E,2,FALSE)</f>
        <v>Deepak Shah</v>
      </c>
      <c r="S1280">
        <f t="shared" si="19"/>
        <v>0.2593939393939394</v>
      </c>
    </row>
    <row r="1281" spans="1:19" x14ac:dyDescent="0.3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  <c r="L1281" t="str">
        <f>VLOOKUP(D1281,Products!$A:$F,3,FALSE)</f>
        <v>Sports</v>
      </c>
      <c r="M1281" t="b">
        <f>VLOOKUP(D1281,Products!$A:$F,6,FALSE)</f>
        <v>1</v>
      </c>
      <c r="N1281">
        <f>VLOOKUP(D1281,Products!$A:$F,4,FALSE)</f>
        <v>147</v>
      </c>
      <c r="O1281" t="str">
        <f>VLOOKUP(C1281,Customers!$A:$F,5,FALSE)</f>
        <v>Retail</v>
      </c>
      <c r="P1281">
        <f>VLOOKUP(C1281,Customers!$A:$F,3,FALSE)</f>
        <v>61</v>
      </c>
      <c r="Q1281" t="str">
        <f>VLOOKUP(E1281,Sales_Reps!$A:$E,3,FALSE)</f>
        <v>North</v>
      </c>
      <c r="R1281" t="str">
        <f>VLOOKUP(E1281,Sales_Reps!$A:$E,2,FALSE)</f>
        <v>Vikram Patel</v>
      </c>
      <c r="S1281">
        <f t="shared" si="19"/>
        <v>0.22631578947368422</v>
      </c>
    </row>
    <row r="1282" spans="1:19" x14ac:dyDescent="0.3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  <c r="L1282" t="str">
        <f>VLOOKUP(D1282,Products!$A:$F,3,FALSE)</f>
        <v>Sports</v>
      </c>
      <c r="M1282" t="b">
        <f>VLOOKUP(D1282,Products!$A:$F,6,FALSE)</f>
        <v>1</v>
      </c>
      <c r="N1282">
        <f>VLOOKUP(D1282,Products!$A:$F,4,FALSE)</f>
        <v>2028</v>
      </c>
      <c r="O1282" t="str">
        <f>VLOOKUP(C1282,Customers!$A:$F,5,FALSE)</f>
        <v>SMB</v>
      </c>
      <c r="P1282">
        <f>VLOOKUP(C1282,Customers!$A:$F,3,FALSE)</f>
        <v>28</v>
      </c>
      <c r="Q1282" t="str">
        <f>VLOOKUP(E1282,Sales_Reps!$A:$E,3,FALSE)</f>
        <v>West</v>
      </c>
      <c r="R1282" t="str">
        <f>VLOOKUP(E1282,Sales_Reps!$A:$E,2,FALSE)</f>
        <v>Ramesh Bhatt</v>
      </c>
      <c r="S1282">
        <f t="shared" si="19"/>
        <v>0.29090909090909089</v>
      </c>
    </row>
    <row r="1283" spans="1:19" x14ac:dyDescent="0.3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  <c r="L1283" t="str">
        <f>VLOOKUP(D1283,Products!$A:$F,3,FALSE)</f>
        <v>Electronics</v>
      </c>
      <c r="M1283" t="b">
        <f>VLOOKUP(D1283,Products!$A:$F,6,FALSE)</f>
        <v>1</v>
      </c>
      <c r="N1283">
        <f>VLOOKUP(D1283,Products!$A:$F,4,FALSE)</f>
        <v>128</v>
      </c>
      <c r="O1283" t="str">
        <f>VLOOKUP(C1283,Customers!$A:$F,5,FALSE)</f>
        <v>SMB</v>
      </c>
      <c r="P1283">
        <f>VLOOKUP(C1283,Customers!$A:$F,3,FALSE)</f>
        <v>50</v>
      </c>
      <c r="Q1283" t="str">
        <f>VLOOKUP(E1283,Sales_Reps!$A:$E,3,FALSE)</f>
        <v>West</v>
      </c>
      <c r="R1283" t="str">
        <f>VLOOKUP(E1283,Sales_Reps!$A:$E,2,FALSE)</f>
        <v>Kiran Bhatt</v>
      </c>
      <c r="S1283">
        <f t="shared" ref="S1283:S1346" si="20">IFERROR((G1283-N1283)/G1283,"")</f>
        <v>0.57333333333333336</v>
      </c>
    </row>
    <row r="1284" spans="1:19" x14ac:dyDescent="0.3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  <c r="L1284" t="str">
        <f>VLOOKUP(D1284,Products!$A:$F,3,FALSE)</f>
        <v>Beauty</v>
      </c>
      <c r="M1284" t="b">
        <f>VLOOKUP(D1284,Products!$A:$F,6,FALSE)</f>
        <v>1</v>
      </c>
      <c r="N1284">
        <f>VLOOKUP(D1284,Products!$A:$F,4,FALSE)</f>
        <v>675</v>
      </c>
      <c r="O1284" t="str">
        <f>VLOOKUP(C1284,Customers!$A:$F,5,FALSE)</f>
        <v>Retail</v>
      </c>
      <c r="P1284">
        <f>VLOOKUP(C1284,Customers!$A:$F,3,FALSE)</f>
        <v>40</v>
      </c>
      <c r="Q1284" t="str">
        <f>VLOOKUP(E1284,Sales_Reps!$A:$E,3,FALSE)</f>
        <v>North</v>
      </c>
      <c r="R1284" t="str">
        <f>VLOOKUP(E1284,Sales_Reps!$A:$E,2,FALSE)</f>
        <v>Suresh Menon</v>
      </c>
      <c r="S1284">
        <f t="shared" si="20"/>
        <v>0.296875</v>
      </c>
    </row>
    <row r="1285" spans="1:19" x14ac:dyDescent="0.3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  <c r="L1285" t="str">
        <f>VLOOKUP(D1285,Products!$A:$F,3,FALSE)</f>
        <v>Apparel</v>
      </c>
      <c r="M1285" t="b">
        <f>VLOOKUP(D1285,Products!$A:$F,6,FALSE)</f>
        <v>1</v>
      </c>
      <c r="N1285">
        <f>VLOOKUP(D1285,Products!$A:$F,4,FALSE)</f>
        <v>391</v>
      </c>
      <c r="O1285" t="str">
        <f>VLOOKUP(C1285,Customers!$A:$F,5,FALSE)</f>
        <v>Retail</v>
      </c>
      <c r="P1285">
        <f>VLOOKUP(C1285,Customers!$A:$F,3,FALSE)</f>
        <v>54</v>
      </c>
      <c r="Q1285" t="str">
        <f>VLOOKUP(E1285,Sales_Reps!$A:$E,3,FALSE)</f>
        <v>South</v>
      </c>
      <c r="R1285" t="str">
        <f>VLOOKUP(E1285,Sales_Reps!$A:$E,2,FALSE)</f>
        <v>Sanjay Kapoor</v>
      </c>
      <c r="S1285">
        <f t="shared" si="20"/>
        <v>0.52317073170731709</v>
      </c>
    </row>
    <row r="1286" spans="1:19" x14ac:dyDescent="0.3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  <c r="L1286" t="str">
        <f>VLOOKUP(D1286,Products!$A:$F,3,FALSE)</f>
        <v>Home</v>
      </c>
      <c r="M1286" t="b">
        <f>VLOOKUP(D1286,Products!$A:$F,6,FALSE)</f>
        <v>1</v>
      </c>
      <c r="N1286">
        <f>VLOOKUP(D1286,Products!$A:$F,4,FALSE)</f>
        <v>288</v>
      </c>
      <c r="O1286" t="str">
        <f>VLOOKUP(C1286,Customers!$A:$F,5,FALSE)</f>
        <v>Retail</v>
      </c>
      <c r="P1286">
        <f>VLOOKUP(C1286,Customers!$A:$F,3,FALSE)</f>
        <v>28</v>
      </c>
      <c r="Q1286" t="str">
        <f>VLOOKUP(E1286,Sales_Reps!$A:$E,3,FALSE)</f>
        <v>North</v>
      </c>
      <c r="R1286" t="str">
        <f>VLOOKUP(E1286,Sales_Reps!$A:$E,2,FALSE)</f>
        <v>Priya Singh</v>
      </c>
      <c r="S1286">
        <f t="shared" si="20"/>
        <v>0.22162162162162163</v>
      </c>
    </row>
    <row r="1287" spans="1:19" x14ac:dyDescent="0.3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  <c r="L1287" t="str">
        <f>VLOOKUP(D1287,Products!$A:$F,3,FALSE)</f>
        <v>Home</v>
      </c>
      <c r="M1287" t="b">
        <f>VLOOKUP(D1287,Products!$A:$F,6,FALSE)</f>
        <v>1</v>
      </c>
      <c r="N1287">
        <f>VLOOKUP(D1287,Products!$A:$F,4,FALSE)</f>
        <v>2549</v>
      </c>
      <c r="O1287" t="str">
        <f>VLOOKUP(C1287,Customers!$A:$F,5,FALSE)</f>
        <v>Retail</v>
      </c>
      <c r="P1287">
        <f>VLOOKUP(C1287,Customers!$A:$F,3,FALSE)</f>
        <v>35</v>
      </c>
      <c r="Q1287" t="str">
        <f>VLOOKUP(E1287,Sales_Reps!$A:$E,3,FALSE)</f>
        <v>East</v>
      </c>
      <c r="R1287" t="str">
        <f>VLOOKUP(E1287,Sales_Reps!$A:$E,2,FALSE)</f>
        <v>Vinod Kumar</v>
      </c>
      <c r="S1287">
        <f t="shared" si="20"/>
        <v>0.53570127504553733</v>
      </c>
    </row>
    <row r="1288" spans="1:19" x14ac:dyDescent="0.3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  <c r="L1288" t="str">
        <f>VLOOKUP(D1288,Products!$A:$F,3,FALSE)</f>
        <v>Home</v>
      </c>
      <c r="M1288" t="b">
        <f>VLOOKUP(D1288,Products!$A:$F,6,FALSE)</f>
        <v>1</v>
      </c>
      <c r="N1288">
        <f>VLOOKUP(D1288,Products!$A:$F,4,FALSE)</f>
        <v>288</v>
      </c>
      <c r="O1288" t="str">
        <f>VLOOKUP(C1288,Customers!$A:$F,5,FALSE)</f>
        <v>SMB</v>
      </c>
      <c r="P1288">
        <f>VLOOKUP(C1288,Customers!$A:$F,3,FALSE)</f>
        <v>28</v>
      </c>
      <c r="Q1288" t="str">
        <f>VLOOKUP(E1288,Sales_Reps!$A:$E,3,FALSE)</f>
        <v>East</v>
      </c>
      <c r="R1288" t="str">
        <f>VLOOKUP(E1288,Sales_Reps!$A:$E,2,FALSE)</f>
        <v>Shalini Patel</v>
      </c>
      <c r="S1288">
        <f t="shared" si="20"/>
        <v>0.22162162162162163</v>
      </c>
    </row>
    <row r="1289" spans="1:19" x14ac:dyDescent="0.3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  <c r="L1289" t="str">
        <f>VLOOKUP(D1289,Products!$A:$F,3,FALSE)</f>
        <v>Sports</v>
      </c>
      <c r="M1289" t="b">
        <f>VLOOKUP(D1289,Products!$A:$F,6,FALSE)</f>
        <v>1</v>
      </c>
      <c r="N1289">
        <f>VLOOKUP(D1289,Products!$A:$F,4,FALSE)</f>
        <v>147</v>
      </c>
      <c r="O1289" t="str">
        <f>VLOOKUP(C1289,Customers!$A:$F,5,FALSE)</f>
        <v>SMB</v>
      </c>
      <c r="P1289">
        <f>VLOOKUP(C1289,Customers!$A:$F,3,FALSE)</f>
        <v>48</v>
      </c>
      <c r="Q1289" t="str">
        <f>VLOOKUP(E1289,Sales_Reps!$A:$E,3,FALSE)</f>
        <v>East</v>
      </c>
      <c r="R1289" t="str">
        <f>VLOOKUP(E1289,Sales_Reps!$A:$E,2,FALSE)</f>
        <v>Shalini Patel</v>
      </c>
      <c r="S1289">
        <f t="shared" si="20"/>
        <v>0.22631578947368422</v>
      </c>
    </row>
    <row r="1290" spans="1:19" x14ac:dyDescent="0.3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  <c r="L1290" t="str">
        <f>VLOOKUP(D1290,Products!$A:$F,3,FALSE)</f>
        <v>Grocery</v>
      </c>
      <c r="M1290" t="b">
        <f>VLOOKUP(D1290,Products!$A:$F,6,FALSE)</f>
        <v>1</v>
      </c>
      <c r="N1290">
        <f>VLOOKUP(D1290,Products!$A:$F,4,FALSE)</f>
        <v>1010</v>
      </c>
      <c r="O1290" t="str">
        <f>VLOOKUP(C1290,Customers!$A:$F,5,FALSE)</f>
        <v>SMB</v>
      </c>
      <c r="P1290">
        <f>VLOOKUP(C1290,Customers!$A:$F,3,FALSE)</f>
        <v>44</v>
      </c>
      <c r="Q1290" t="str">
        <f>VLOOKUP(E1290,Sales_Reps!$A:$E,3,FALSE)</f>
        <v>East</v>
      </c>
      <c r="R1290" t="str">
        <f>VLOOKUP(E1290,Sales_Reps!$A:$E,2,FALSE)</f>
        <v>Vinod Kumar</v>
      </c>
      <c r="S1290">
        <f t="shared" si="20"/>
        <v>0.54298642533936647</v>
      </c>
    </row>
    <row r="1291" spans="1:19" x14ac:dyDescent="0.3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  <c r="L1291" t="str">
        <f>VLOOKUP(D1291,Products!$A:$F,3,FALSE)</f>
        <v>Beauty</v>
      </c>
      <c r="M1291" t="b">
        <f>VLOOKUP(D1291,Products!$A:$F,6,FALSE)</f>
        <v>1</v>
      </c>
      <c r="N1291">
        <f>VLOOKUP(D1291,Products!$A:$F,4,FALSE)</f>
        <v>1222</v>
      </c>
      <c r="O1291" t="str">
        <f>VLOOKUP(C1291,Customers!$A:$F,5,FALSE)</f>
        <v>Retail</v>
      </c>
      <c r="P1291">
        <f>VLOOKUP(C1291,Customers!$A:$F,3,FALSE)</f>
        <v>55</v>
      </c>
      <c r="Q1291" t="str">
        <f>VLOOKUP(E1291,Sales_Reps!$A:$E,3,FALSE)</f>
        <v>South</v>
      </c>
      <c r="R1291" t="str">
        <f>VLOOKUP(E1291,Sales_Reps!$A:$E,2,FALSE)</f>
        <v>Manoj Patel</v>
      </c>
      <c r="S1291">
        <f t="shared" si="20"/>
        <v>0.2593939393939394</v>
      </c>
    </row>
    <row r="1292" spans="1:19" x14ac:dyDescent="0.3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  <c r="L1292" t="str">
        <f>VLOOKUP(D1292,Products!$A:$F,3,FALSE)</f>
        <v>Home</v>
      </c>
      <c r="M1292" t="b">
        <f>VLOOKUP(D1292,Products!$A:$F,6,FALSE)</f>
        <v>1</v>
      </c>
      <c r="N1292">
        <f>VLOOKUP(D1292,Products!$A:$F,4,FALSE)</f>
        <v>329</v>
      </c>
      <c r="O1292" t="str">
        <f>VLOOKUP(C1292,Customers!$A:$F,5,FALSE)</f>
        <v>Retail</v>
      </c>
      <c r="P1292">
        <f>VLOOKUP(C1292,Customers!$A:$F,3,FALSE)</f>
        <v>32</v>
      </c>
      <c r="Q1292" t="str">
        <f>VLOOKUP(E1292,Sales_Reps!$A:$E,3,FALSE)</f>
        <v>South</v>
      </c>
      <c r="R1292" t="str">
        <f>VLOOKUP(E1292,Sales_Reps!$A:$E,2,FALSE)</f>
        <v>Sanjay Kapoor</v>
      </c>
      <c r="S1292">
        <f t="shared" si="20"/>
        <v>0.50151515151515147</v>
      </c>
    </row>
    <row r="1293" spans="1:19" x14ac:dyDescent="0.3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  <c r="L1293" t="str">
        <f>VLOOKUP(D1293,Products!$A:$F,3,FALSE)</f>
        <v>Home</v>
      </c>
      <c r="M1293" t="b">
        <f>VLOOKUP(D1293,Products!$A:$F,6,FALSE)</f>
        <v>1</v>
      </c>
      <c r="N1293">
        <f>VLOOKUP(D1293,Products!$A:$F,4,FALSE)</f>
        <v>1850</v>
      </c>
      <c r="O1293" t="str">
        <f>VLOOKUP(C1293,Customers!$A:$F,5,FALSE)</f>
        <v>SMB</v>
      </c>
      <c r="P1293">
        <f>VLOOKUP(C1293,Customers!$A:$F,3,FALSE)</f>
        <v>44</v>
      </c>
      <c r="Q1293" t="str">
        <f>VLOOKUP(E1293,Sales_Reps!$A:$E,3,FALSE)</f>
        <v>North</v>
      </c>
      <c r="R1293" t="str">
        <f>VLOOKUP(E1293,Sales_Reps!$A:$E,2,FALSE)</f>
        <v>Priya Singh</v>
      </c>
      <c r="S1293">
        <f t="shared" si="20"/>
        <v>0.59869848156182215</v>
      </c>
    </row>
    <row r="1294" spans="1:19" x14ac:dyDescent="0.3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  <c r="L1294" t="str">
        <f>VLOOKUP(D1294,Products!$A:$F,3,FALSE)</f>
        <v>Grocery</v>
      </c>
      <c r="M1294" t="b">
        <f>VLOOKUP(D1294,Products!$A:$F,6,FALSE)</f>
        <v>1</v>
      </c>
      <c r="N1294">
        <f>VLOOKUP(D1294,Products!$A:$F,4,FALSE)</f>
        <v>1010</v>
      </c>
      <c r="O1294" t="str">
        <f>VLOOKUP(C1294,Customers!$A:$F,5,FALSE)</f>
        <v>SMB</v>
      </c>
      <c r="P1294">
        <f>VLOOKUP(C1294,Customers!$A:$F,3,FALSE)</f>
        <v>22</v>
      </c>
      <c r="Q1294" t="str">
        <f>VLOOKUP(E1294,Sales_Reps!$A:$E,3,FALSE)</f>
        <v>West</v>
      </c>
      <c r="R1294" t="str">
        <f>VLOOKUP(E1294,Sales_Reps!$A:$E,2,FALSE)</f>
        <v>Ashok Reddy</v>
      </c>
      <c r="S1294">
        <f t="shared" si="20"/>
        <v>0.54298642533936647</v>
      </c>
    </row>
    <row r="1295" spans="1:19" x14ac:dyDescent="0.3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  <c r="L1295" t="str">
        <f>VLOOKUP(D1295,Products!$A:$F,3,FALSE)</f>
        <v>Beauty</v>
      </c>
      <c r="M1295" t="b">
        <f>VLOOKUP(D1295,Products!$A:$F,6,FALSE)</f>
        <v>1</v>
      </c>
      <c r="N1295">
        <f>VLOOKUP(D1295,Products!$A:$F,4,FALSE)</f>
        <v>1219</v>
      </c>
      <c r="O1295" t="str">
        <f>VLOOKUP(C1295,Customers!$A:$F,5,FALSE)</f>
        <v>SMB</v>
      </c>
      <c r="P1295">
        <f>VLOOKUP(C1295,Customers!$A:$F,3,FALSE)</f>
        <v>62</v>
      </c>
      <c r="Q1295" t="str">
        <f>VLOOKUP(E1295,Sales_Reps!$A:$E,3,FALSE)</f>
        <v>East</v>
      </c>
      <c r="R1295" t="str">
        <f>VLOOKUP(E1295,Sales_Reps!$A:$E,2,FALSE)</f>
        <v>Naveen Singh</v>
      </c>
      <c r="S1295">
        <f t="shared" si="20"/>
        <v>0.46768558951965067</v>
      </c>
    </row>
    <row r="1296" spans="1:19" x14ac:dyDescent="0.3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  <c r="L1296" t="str">
        <f>VLOOKUP(D1296,Products!$A:$F,3,FALSE)</f>
        <v>Home</v>
      </c>
      <c r="M1296" t="b">
        <f>VLOOKUP(D1296,Products!$A:$F,6,FALSE)</f>
        <v>1</v>
      </c>
      <c r="N1296">
        <f>VLOOKUP(D1296,Products!$A:$F,4,FALSE)</f>
        <v>519</v>
      </c>
      <c r="O1296" t="str">
        <f>VLOOKUP(C1296,Customers!$A:$F,5,FALSE)</f>
        <v>Corporate</v>
      </c>
      <c r="P1296">
        <f>VLOOKUP(C1296,Customers!$A:$F,3,FALSE)</f>
        <v>46</v>
      </c>
      <c r="Q1296" t="str">
        <f>VLOOKUP(E1296,Sales_Reps!$A:$E,3,FALSE)</f>
        <v>West</v>
      </c>
      <c r="R1296" t="str">
        <f>VLOOKUP(E1296,Sales_Reps!$A:$E,2,FALSE)</f>
        <v>Sonia Malhotra</v>
      </c>
      <c r="S1296">
        <f t="shared" si="20"/>
        <v>0.51944444444444449</v>
      </c>
    </row>
    <row r="1297" spans="1:19" x14ac:dyDescent="0.3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  <c r="L1297" t="str">
        <f>VLOOKUP(D1297,Products!$A:$F,3,FALSE)</f>
        <v>Sports</v>
      </c>
      <c r="M1297" t="b">
        <f>VLOOKUP(D1297,Products!$A:$F,6,FALSE)</f>
        <v>1</v>
      </c>
      <c r="N1297">
        <f>VLOOKUP(D1297,Products!$A:$F,4,FALSE)</f>
        <v>705</v>
      </c>
      <c r="O1297" t="str">
        <f>VLOOKUP(C1297,Customers!$A:$F,5,FALSE)</f>
        <v>SMB</v>
      </c>
      <c r="P1297">
        <f>VLOOKUP(C1297,Customers!$A:$F,3,FALSE)</f>
        <v>30</v>
      </c>
      <c r="Q1297" t="str">
        <f>VLOOKUP(E1297,Sales_Reps!$A:$E,3,FALSE)</f>
        <v>South</v>
      </c>
      <c r="R1297" t="str">
        <f>VLOOKUP(E1297,Sales_Reps!$A:$E,2,FALSE)</f>
        <v>Divya Rao</v>
      </c>
      <c r="S1297">
        <f t="shared" si="20"/>
        <v>0.265625</v>
      </c>
    </row>
    <row r="1298" spans="1:19" x14ac:dyDescent="0.3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  <c r="L1298" t="str">
        <f>VLOOKUP(D1298,Products!$A:$F,3,FALSE)</f>
        <v>Sports</v>
      </c>
      <c r="M1298" t="b">
        <f>VLOOKUP(D1298,Products!$A:$F,6,FALSE)</f>
        <v>1</v>
      </c>
      <c r="N1298">
        <f>VLOOKUP(D1298,Products!$A:$F,4,FALSE)</f>
        <v>974</v>
      </c>
      <c r="O1298" t="str">
        <f>VLOOKUP(C1298,Customers!$A:$F,5,FALSE)</f>
        <v>SMB</v>
      </c>
      <c r="P1298">
        <f>VLOOKUP(C1298,Customers!$A:$F,3,FALSE)</f>
        <v>47</v>
      </c>
      <c r="Q1298" t="str">
        <f>VLOOKUP(E1298,Sales_Reps!$A:$E,3,FALSE)</f>
        <v>North</v>
      </c>
      <c r="R1298" t="str">
        <f>VLOOKUP(E1298,Sales_Reps!$A:$E,2,FALSE)</f>
        <v>Kavita Patel</v>
      </c>
      <c r="S1298">
        <f t="shared" si="20"/>
        <v>0.59416666666666662</v>
      </c>
    </row>
    <row r="1299" spans="1:19" x14ac:dyDescent="0.3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  <c r="L1299" t="str">
        <f>VLOOKUP(D1299,Products!$A:$F,3,FALSE)</f>
        <v>Beauty</v>
      </c>
      <c r="M1299" t="b">
        <f>VLOOKUP(D1299,Products!$A:$F,6,FALSE)</f>
        <v>1</v>
      </c>
      <c r="N1299">
        <f>VLOOKUP(D1299,Products!$A:$F,4,FALSE)</f>
        <v>1219</v>
      </c>
      <c r="O1299" t="str">
        <f>VLOOKUP(C1299,Customers!$A:$F,5,FALSE)</f>
        <v>Retail</v>
      </c>
      <c r="P1299">
        <f>VLOOKUP(C1299,Customers!$A:$F,3,FALSE)</f>
        <v>38</v>
      </c>
      <c r="Q1299" t="str">
        <f>VLOOKUP(E1299,Sales_Reps!$A:$E,3,FALSE)</f>
        <v>South</v>
      </c>
      <c r="R1299" t="str">
        <f>VLOOKUP(E1299,Sales_Reps!$A:$E,2,FALSE)</f>
        <v>Divya Rao</v>
      </c>
      <c r="S1299">
        <f t="shared" si="20"/>
        <v>0.46768558951965067</v>
      </c>
    </row>
    <row r="1300" spans="1:19" x14ac:dyDescent="0.3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  <c r="L1300" t="str">
        <f>VLOOKUP(D1300,Products!$A:$F,3,FALSE)</f>
        <v>Home</v>
      </c>
      <c r="M1300" t="b">
        <f>VLOOKUP(D1300,Products!$A:$F,6,FALSE)</f>
        <v>1</v>
      </c>
      <c r="N1300">
        <f>VLOOKUP(D1300,Products!$A:$F,4,FALSE)</f>
        <v>519</v>
      </c>
      <c r="O1300" t="str">
        <f>VLOOKUP(C1300,Customers!$A:$F,5,FALSE)</f>
        <v>Retail</v>
      </c>
      <c r="P1300">
        <f>VLOOKUP(C1300,Customers!$A:$F,3,FALSE)</f>
        <v>37</v>
      </c>
      <c r="Q1300" t="str">
        <f>VLOOKUP(E1300,Sales_Reps!$A:$E,3,FALSE)</f>
        <v>East</v>
      </c>
      <c r="R1300" t="str">
        <f>VLOOKUP(E1300,Sales_Reps!$A:$E,2,FALSE)</f>
        <v>Shalini Patel</v>
      </c>
      <c r="S1300">
        <f t="shared" si="20"/>
        <v>0.51944444444444449</v>
      </c>
    </row>
    <row r="1301" spans="1:19" x14ac:dyDescent="0.3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  <c r="L1301" t="str">
        <f>VLOOKUP(D1301,Products!$A:$F,3,FALSE)</f>
        <v>Home</v>
      </c>
      <c r="M1301" t="b">
        <f>VLOOKUP(D1301,Products!$A:$F,6,FALSE)</f>
        <v>1</v>
      </c>
      <c r="N1301">
        <f>VLOOKUP(D1301,Products!$A:$F,4,FALSE)</f>
        <v>464</v>
      </c>
      <c r="O1301" t="str">
        <f>VLOOKUP(C1301,Customers!$A:$F,5,FALSE)</f>
        <v>Retail</v>
      </c>
      <c r="P1301">
        <f>VLOOKUP(C1301,Customers!$A:$F,3,FALSE)</f>
        <v>55</v>
      </c>
      <c r="Q1301" t="str">
        <f>VLOOKUP(E1301,Sales_Reps!$A:$E,3,FALSE)</f>
        <v>North</v>
      </c>
      <c r="R1301" t="str">
        <f>VLOOKUP(E1301,Sales_Reps!$A:$E,2,FALSE)</f>
        <v>Priya Singh</v>
      </c>
      <c r="S1301">
        <f t="shared" si="20"/>
        <v>0.57431192660550456</v>
      </c>
    </row>
    <row r="1302" spans="1:19" x14ac:dyDescent="0.3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  <c r="L1302" t="str">
        <f>VLOOKUP(D1302,Products!$A:$F,3,FALSE)</f>
        <v>Grocery</v>
      </c>
      <c r="M1302" t="b">
        <f>VLOOKUP(D1302,Products!$A:$F,6,FALSE)</f>
        <v>1</v>
      </c>
      <c r="N1302">
        <f>VLOOKUP(D1302,Products!$A:$F,4,FALSE)</f>
        <v>1010</v>
      </c>
      <c r="O1302" t="str">
        <f>VLOOKUP(C1302,Customers!$A:$F,5,FALSE)</f>
        <v>Retail</v>
      </c>
      <c r="P1302">
        <f>VLOOKUP(C1302,Customers!$A:$F,3,FALSE)</f>
        <v>37</v>
      </c>
      <c r="Q1302" t="str">
        <f>VLOOKUP(E1302,Sales_Reps!$A:$E,3,FALSE)</f>
        <v>East</v>
      </c>
      <c r="R1302" t="str">
        <f>VLOOKUP(E1302,Sales_Reps!$A:$E,2,FALSE)</f>
        <v>Shalini Patel</v>
      </c>
      <c r="S1302">
        <f t="shared" si="20"/>
        <v>0.54298642533936647</v>
      </c>
    </row>
    <row r="1303" spans="1:19" x14ac:dyDescent="0.3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  <c r="L1303" t="str">
        <f>VLOOKUP(D1303,Products!$A:$F,3,FALSE)</f>
        <v>Apparel</v>
      </c>
      <c r="M1303" t="b">
        <f>VLOOKUP(D1303,Products!$A:$F,6,FALSE)</f>
        <v>1</v>
      </c>
      <c r="N1303">
        <f>VLOOKUP(D1303,Products!$A:$F,4,FALSE)</f>
        <v>2509</v>
      </c>
      <c r="O1303" t="str">
        <f>VLOOKUP(C1303,Customers!$A:$F,5,FALSE)</f>
        <v>Corporate</v>
      </c>
      <c r="P1303">
        <f>VLOOKUP(C1303,Customers!$A:$F,3,FALSE)</f>
        <v>47</v>
      </c>
      <c r="Q1303" t="str">
        <f>VLOOKUP(E1303,Sales_Reps!$A:$E,3,FALSE)</f>
        <v>South</v>
      </c>
      <c r="R1303" t="str">
        <f>VLOOKUP(E1303,Sales_Reps!$A:$E,2,FALSE)</f>
        <v>Deepak Shah</v>
      </c>
      <c r="S1303">
        <f t="shared" si="20"/>
        <v>0.3069060773480663</v>
      </c>
    </row>
    <row r="1304" spans="1:19" x14ac:dyDescent="0.3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  <c r="L1304" t="str">
        <f>VLOOKUP(D1304,Products!$A:$F,3,FALSE)</f>
        <v>Home</v>
      </c>
      <c r="M1304" t="b">
        <f>VLOOKUP(D1304,Products!$A:$F,6,FALSE)</f>
        <v>1</v>
      </c>
      <c r="N1304">
        <f>VLOOKUP(D1304,Products!$A:$F,4,FALSE)</f>
        <v>1143</v>
      </c>
      <c r="O1304" t="str">
        <f>VLOOKUP(C1304,Customers!$A:$F,5,FALSE)</f>
        <v>Retail</v>
      </c>
      <c r="P1304">
        <f>VLOOKUP(C1304,Customers!$A:$F,3,FALSE)</f>
        <v>26</v>
      </c>
      <c r="Q1304" t="str">
        <f>VLOOKUP(E1304,Sales_Reps!$A:$E,3,FALSE)</f>
        <v>South</v>
      </c>
      <c r="R1304" t="str">
        <f>VLOOKUP(E1304,Sales_Reps!$A:$E,2,FALSE)</f>
        <v>Anil Verma</v>
      </c>
      <c r="S1304">
        <f t="shared" si="20"/>
        <v>0.43694581280788175</v>
      </c>
    </row>
    <row r="1305" spans="1:19" x14ac:dyDescent="0.3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  <c r="L1305" t="str">
        <f>VLOOKUP(D1305,Products!$A:$F,3,FALSE)</f>
        <v>Electronics</v>
      </c>
      <c r="M1305" t="b">
        <f>VLOOKUP(D1305,Products!$A:$F,6,FALSE)</f>
        <v>1</v>
      </c>
      <c r="N1305">
        <f>VLOOKUP(D1305,Products!$A:$F,4,FALSE)</f>
        <v>1559</v>
      </c>
      <c r="O1305" t="str">
        <f>VLOOKUP(C1305,Customers!$A:$F,5,FALSE)</f>
        <v>Corporate</v>
      </c>
      <c r="P1305">
        <f>VLOOKUP(C1305,Customers!$A:$F,3,FALSE)</f>
        <v>26</v>
      </c>
      <c r="Q1305" t="str">
        <f>VLOOKUP(E1305,Sales_Reps!$A:$E,3,FALSE)</f>
        <v>East</v>
      </c>
      <c r="R1305" t="str">
        <f>VLOOKUP(E1305,Sales_Reps!$A:$E,2,FALSE)</f>
        <v>Vinod Kumar</v>
      </c>
      <c r="S1305">
        <f t="shared" si="20"/>
        <v>0.59715762273901807</v>
      </c>
    </row>
    <row r="1306" spans="1:19" x14ac:dyDescent="0.3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  <c r="L1306" t="str">
        <f>VLOOKUP(D1306,Products!$A:$F,3,FALSE)</f>
        <v>Electronics</v>
      </c>
      <c r="M1306" t="b">
        <f>VLOOKUP(D1306,Products!$A:$F,6,FALSE)</f>
        <v>1</v>
      </c>
      <c r="N1306">
        <f>VLOOKUP(D1306,Products!$A:$F,4,FALSE)</f>
        <v>1665</v>
      </c>
      <c r="O1306" t="str">
        <f>VLOOKUP(C1306,Customers!$A:$F,5,FALSE)</f>
        <v>Retail</v>
      </c>
      <c r="P1306">
        <f>VLOOKUP(C1306,Customers!$A:$F,3,FALSE)</f>
        <v>52</v>
      </c>
      <c r="Q1306" t="str">
        <f>VLOOKUP(E1306,Sales_Reps!$A:$E,3,FALSE)</f>
        <v>South</v>
      </c>
      <c r="R1306" t="str">
        <f>VLOOKUP(E1306,Sales_Reps!$A:$E,2,FALSE)</f>
        <v>Ritu Menon</v>
      </c>
      <c r="S1306">
        <f t="shared" si="20"/>
        <v>0.53361344537815125</v>
      </c>
    </row>
    <row r="1307" spans="1:19" x14ac:dyDescent="0.3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  <c r="L1307" t="str">
        <f>VLOOKUP(D1307,Products!$A:$F,3,FALSE)</f>
        <v>Electronics</v>
      </c>
      <c r="M1307" t="b">
        <f>VLOOKUP(D1307,Products!$A:$F,6,FALSE)</f>
        <v>1</v>
      </c>
      <c r="N1307">
        <f>VLOOKUP(D1307,Products!$A:$F,4,FALSE)</f>
        <v>2405</v>
      </c>
      <c r="O1307" t="str">
        <f>VLOOKUP(C1307,Customers!$A:$F,5,FALSE)</f>
        <v>Corporate</v>
      </c>
      <c r="P1307">
        <f>VLOOKUP(C1307,Customers!$A:$F,3,FALSE)</f>
        <v>31</v>
      </c>
      <c r="Q1307" t="str">
        <f>VLOOKUP(E1307,Sales_Reps!$A:$E,3,FALSE)</f>
        <v>East</v>
      </c>
      <c r="R1307" t="str">
        <f>VLOOKUP(E1307,Sales_Reps!$A:$E,2,FALSE)</f>
        <v>Prakash Shah</v>
      </c>
      <c r="S1307">
        <f t="shared" si="20"/>
        <v>0.54878048780487809</v>
      </c>
    </row>
    <row r="1308" spans="1:19" x14ac:dyDescent="0.3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  <c r="L1308" t="str">
        <f>VLOOKUP(D1308,Products!$A:$F,3,FALSE)</f>
        <v>Electronics</v>
      </c>
      <c r="M1308" t="b">
        <f>VLOOKUP(D1308,Products!$A:$F,6,FALSE)</f>
        <v>1</v>
      </c>
      <c r="N1308">
        <f>VLOOKUP(D1308,Products!$A:$F,4,FALSE)</f>
        <v>517</v>
      </c>
      <c r="O1308" t="str">
        <f>VLOOKUP(C1308,Customers!$A:$F,5,FALSE)</f>
        <v>Retail</v>
      </c>
      <c r="P1308">
        <f>VLOOKUP(C1308,Customers!$A:$F,3,FALSE)</f>
        <v>36</v>
      </c>
      <c r="Q1308" t="str">
        <f>VLOOKUP(E1308,Sales_Reps!$A:$E,3,FALSE)</f>
        <v>South</v>
      </c>
      <c r="R1308" t="str">
        <f>VLOOKUP(E1308,Sales_Reps!$A:$E,2,FALSE)</f>
        <v>Manoj Patel</v>
      </c>
      <c r="S1308">
        <f t="shared" si="20"/>
        <v>0.57622950819672136</v>
      </c>
    </row>
    <row r="1309" spans="1:19" x14ac:dyDescent="0.3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  <c r="L1309" t="str">
        <f>VLOOKUP(D1309,Products!$A:$F,3,FALSE)</f>
        <v>Apparel</v>
      </c>
      <c r="M1309" t="b">
        <f>VLOOKUP(D1309,Products!$A:$F,6,FALSE)</f>
        <v>1</v>
      </c>
      <c r="N1309">
        <f>VLOOKUP(D1309,Products!$A:$F,4,FALSE)</f>
        <v>1748</v>
      </c>
      <c r="O1309" t="str">
        <f>VLOOKUP(C1309,Customers!$A:$F,5,FALSE)</f>
        <v>Retail</v>
      </c>
      <c r="P1309">
        <f>VLOOKUP(C1309,Customers!$A:$F,3,FALSE)</f>
        <v>49</v>
      </c>
      <c r="Q1309" t="str">
        <f>VLOOKUP(E1309,Sales_Reps!$A:$E,3,FALSE)</f>
        <v>East</v>
      </c>
      <c r="R1309" t="str">
        <f>VLOOKUP(E1309,Sales_Reps!$A:$E,2,FALSE)</f>
        <v>Prakash Shah</v>
      </c>
      <c r="S1309">
        <f t="shared" si="20"/>
        <v>0.49333333333333335</v>
      </c>
    </row>
    <row r="1310" spans="1:19" x14ac:dyDescent="0.3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  <c r="L1310" t="str">
        <f>VLOOKUP(D1310,Products!$A:$F,3,FALSE)</f>
        <v>Apparel</v>
      </c>
      <c r="M1310" t="b">
        <f>VLOOKUP(D1310,Products!$A:$F,6,FALSE)</f>
        <v>1</v>
      </c>
      <c r="N1310">
        <f>VLOOKUP(D1310,Products!$A:$F,4,FALSE)</f>
        <v>2629</v>
      </c>
      <c r="O1310" t="str">
        <f>VLOOKUP(C1310,Customers!$A:$F,5,FALSE)</f>
        <v>SMB</v>
      </c>
      <c r="P1310">
        <f>VLOOKUP(C1310,Customers!$A:$F,3,FALSE)</f>
        <v>65</v>
      </c>
      <c r="Q1310" t="str">
        <f>VLOOKUP(E1310,Sales_Reps!$A:$E,3,FALSE)</f>
        <v>South</v>
      </c>
      <c r="R1310" t="str">
        <f>VLOOKUP(E1310,Sales_Reps!$A:$E,2,FALSE)</f>
        <v>Sanjay Kapoor</v>
      </c>
      <c r="S1310">
        <f t="shared" si="20"/>
        <v>0.26151685393258428</v>
      </c>
    </row>
    <row r="1311" spans="1:19" x14ac:dyDescent="0.3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  <c r="L1311" t="str">
        <f>VLOOKUP(D1311,Products!$A:$F,3,FALSE)</f>
        <v>Home</v>
      </c>
      <c r="M1311" t="b">
        <f>VLOOKUP(D1311,Products!$A:$F,6,FALSE)</f>
        <v>1</v>
      </c>
      <c r="N1311">
        <f>VLOOKUP(D1311,Products!$A:$F,4,FALSE)</f>
        <v>288</v>
      </c>
      <c r="O1311" t="str">
        <f>VLOOKUP(C1311,Customers!$A:$F,5,FALSE)</f>
        <v>Corporate</v>
      </c>
      <c r="P1311">
        <f>VLOOKUP(C1311,Customers!$A:$F,3,FALSE)</f>
        <v>36</v>
      </c>
      <c r="Q1311" t="str">
        <f>VLOOKUP(E1311,Sales_Reps!$A:$E,3,FALSE)</f>
        <v>North</v>
      </c>
      <c r="R1311" t="str">
        <f>VLOOKUP(E1311,Sales_Reps!$A:$E,2,FALSE)</f>
        <v>Vikram Patel</v>
      </c>
      <c r="S1311">
        <f t="shared" si="20"/>
        <v>0.22162162162162163</v>
      </c>
    </row>
    <row r="1312" spans="1:19" x14ac:dyDescent="0.3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  <c r="L1312" t="str">
        <f>VLOOKUP(D1312,Products!$A:$F,3,FALSE)</f>
        <v>Electronics</v>
      </c>
      <c r="M1312" t="b">
        <f>VLOOKUP(D1312,Products!$A:$F,6,FALSE)</f>
        <v>1</v>
      </c>
      <c r="N1312">
        <f>VLOOKUP(D1312,Products!$A:$F,4,FALSE)</f>
        <v>517</v>
      </c>
      <c r="O1312" t="str">
        <f>VLOOKUP(C1312,Customers!$A:$F,5,FALSE)</f>
        <v>Retail</v>
      </c>
      <c r="P1312">
        <f>VLOOKUP(C1312,Customers!$A:$F,3,FALSE)</f>
        <v>48</v>
      </c>
      <c r="Q1312" t="str">
        <f>VLOOKUP(E1312,Sales_Reps!$A:$E,3,FALSE)</f>
        <v>North</v>
      </c>
      <c r="R1312" t="str">
        <f>VLOOKUP(E1312,Sales_Reps!$A:$E,2,FALSE)</f>
        <v>Amit Singh</v>
      </c>
      <c r="S1312">
        <f t="shared" si="20"/>
        <v>0.57622950819672136</v>
      </c>
    </row>
    <row r="1313" spans="1:19" x14ac:dyDescent="0.3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  <c r="L1313" t="str">
        <f>VLOOKUP(D1313,Products!$A:$F,3,FALSE)</f>
        <v>Apparel</v>
      </c>
      <c r="M1313" t="b">
        <f>VLOOKUP(D1313,Products!$A:$F,6,FALSE)</f>
        <v>1</v>
      </c>
      <c r="N1313">
        <f>VLOOKUP(D1313,Products!$A:$F,4,FALSE)</f>
        <v>2611</v>
      </c>
      <c r="O1313" t="str">
        <f>VLOOKUP(C1313,Customers!$A:$F,5,FALSE)</f>
        <v>SMB</v>
      </c>
      <c r="P1313">
        <f>VLOOKUP(C1313,Customers!$A:$F,3,FALSE)</f>
        <v>39</v>
      </c>
      <c r="Q1313" t="str">
        <f>VLOOKUP(E1313,Sales_Reps!$A:$E,3,FALSE)</f>
        <v>North</v>
      </c>
      <c r="R1313" t="str">
        <f>VLOOKUP(E1313,Sales_Reps!$A:$E,2,FALSE)</f>
        <v>Neha Desai</v>
      </c>
      <c r="S1313">
        <f t="shared" si="20"/>
        <v>0.28269230769230769</v>
      </c>
    </row>
    <row r="1314" spans="1:19" x14ac:dyDescent="0.3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  <c r="L1314" t="str">
        <f>VLOOKUP(D1314,Products!$A:$F,3,FALSE)</f>
        <v>Beauty</v>
      </c>
      <c r="M1314" t="b">
        <f>VLOOKUP(D1314,Products!$A:$F,6,FALSE)</f>
        <v>1</v>
      </c>
      <c r="N1314">
        <f>VLOOKUP(D1314,Products!$A:$F,4,FALSE)</f>
        <v>1626</v>
      </c>
      <c r="O1314" t="str">
        <f>VLOOKUP(C1314,Customers!$A:$F,5,FALSE)</f>
        <v>Corporate</v>
      </c>
      <c r="P1314">
        <f>VLOOKUP(C1314,Customers!$A:$F,3,FALSE)</f>
        <v>62</v>
      </c>
      <c r="Q1314" t="str">
        <f>VLOOKUP(E1314,Sales_Reps!$A:$E,3,FALSE)</f>
        <v>South</v>
      </c>
      <c r="R1314" t="str">
        <f>VLOOKUP(E1314,Sales_Reps!$A:$E,2,FALSE)</f>
        <v>Divya Rao</v>
      </c>
      <c r="S1314">
        <f t="shared" si="20"/>
        <v>0.46158940397350995</v>
      </c>
    </row>
    <row r="1315" spans="1:19" x14ac:dyDescent="0.3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  <c r="L1315" t="str">
        <f>VLOOKUP(D1315,Products!$A:$F,3,FALSE)</f>
        <v>Beauty</v>
      </c>
      <c r="M1315" t="b">
        <f>VLOOKUP(D1315,Products!$A:$F,6,FALSE)</f>
        <v>1</v>
      </c>
      <c r="N1315">
        <f>VLOOKUP(D1315,Products!$A:$F,4,FALSE)</f>
        <v>2237</v>
      </c>
      <c r="O1315" t="str">
        <f>VLOOKUP(C1315,Customers!$A:$F,5,FALSE)</f>
        <v>Retail</v>
      </c>
      <c r="P1315">
        <f>VLOOKUP(C1315,Customers!$A:$F,3,FALSE)</f>
        <v>27</v>
      </c>
      <c r="Q1315" t="str">
        <f>VLOOKUP(E1315,Sales_Reps!$A:$E,3,FALSE)</f>
        <v>North</v>
      </c>
      <c r="R1315" t="str">
        <f>VLOOKUP(E1315,Sales_Reps!$A:$E,2,FALSE)</f>
        <v>Kavita Patel</v>
      </c>
      <c r="S1315">
        <f t="shared" si="20"/>
        <v>0.56137254901960787</v>
      </c>
    </row>
    <row r="1316" spans="1:19" x14ac:dyDescent="0.3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  <c r="L1316" t="str">
        <f>VLOOKUP(D1316,Products!$A:$F,3,FALSE)</f>
        <v>Electronics</v>
      </c>
      <c r="M1316" t="b">
        <f>VLOOKUP(D1316,Products!$A:$F,6,FALSE)</f>
        <v>1</v>
      </c>
      <c r="N1316">
        <f>VLOOKUP(D1316,Products!$A:$F,4,FALSE)</f>
        <v>128</v>
      </c>
      <c r="O1316" t="str">
        <f>VLOOKUP(C1316,Customers!$A:$F,5,FALSE)</f>
        <v>Retail</v>
      </c>
      <c r="P1316">
        <f>VLOOKUP(C1316,Customers!$A:$F,3,FALSE)</f>
        <v>49</v>
      </c>
      <c r="Q1316" t="str">
        <f>VLOOKUP(E1316,Sales_Reps!$A:$E,3,FALSE)</f>
        <v>North</v>
      </c>
      <c r="R1316" t="str">
        <f>VLOOKUP(E1316,Sales_Reps!$A:$E,2,FALSE)</f>
        <v>Rajesh Malhotra</v>
      </c>
      <c r="S1316">
        <f t="shared" si="20"/>
        <v>0.57333333333333336</v>
      </c>
    </row>
    <row r="1317" spans="1:19" x14ac:dyDescent="0.3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  <c r="L1317" t="str">
        <f>VLOOKUP(D1317,Products!$A:$F,3,FALSE)</f>
        <v>Beauty</v>
      </c>
      <c r="M1317" t="b">
        <f>VLOOKUP(D1317,Products!$A:$F,6,FALSE)</f>
        <v>1</v>
      </c>
      <c r="N1317">
        <f>VLOOKUP(D1317,Products!$A:$F,4,FALSE)</f>
        <v>1219</v>
      </c>
      <c r="O1317" t="str">
        <f>VLOOKUP(C1317,Customers!$A:$F,5,FALSE)</f>
        <v>SMB</v>
      </c>
      <c r="P1317">
        <f>VLOOKUP(C1317,Customers!$A:$F,3,FALSE)</f>
        <v>44</v>
      </c>
      <c r="Q1317" t="str">
        <f>VLOOKUP(E1317,Sales_Reps!$A:$E,3,FALSE)</f>
        <v>North</v>
      </c>
      <c r="R1317" t="str">
        <f>VLOOKUP(E1317,Sales_Reps!$A:$E,2,FALSE)</f>
        <v>Suresh Menon</v>
      </c>
      <c r="S1317">
        <f t="shared" si="20"/>
        <v>0.46768558951965067</v>
      </c>
    </row>
    <row r="1318" spans="1:19" x14ac:dyDescent="0.3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  <c r="L1318" t="str">
        <f>VLOOKUP(D1318,Products!$A:$F,3,FALSE)</f>
        <v>Apparel</v>
      </c>
      <c r="M1318" t="b">
        <f>VLOOKUP(D1318,Products!$A:$F,6,FALSE)</f>
        <v>1</v>
      </c>
      <c r="N1318">
        <f>VLOOKUP(D1318,Products!$A:$F,4,FALSE)</f>
        <v>2611</v>
      </c>
      <c r="O1318" t="str">
        <f>VLOOKUP(C1318,Customers!$A:$F,5,FALSE)</f>
        <v>Corporate</v>
      </c>
      <c r="P1318">
        <f>VLOOKUP(C1318,Customers!$A:$F,3,FALSE)</f>
        <v>55</v>
      </c>
      <c r="Q1318" t="str">
        <f>VLOOKUP(E1318,Sales_Reps!$A:$E,3,FALSE)</f>
        <v>West</v>
      </c>
      <c r="R1318" t="str">
        <f>VLOOKUP(E1318,Sales_Reps!$A:$E,2,FALSE)</f>
        <v>Rekha Chopra</v>
      </c>
      <c r="S1318">
        <f t="shared" si="20"/>
        <v>0.28269230769230769</v>
      </c>
    </row>
    <row r="1319" spans="1:19" x14ac:dyDescent="0.3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  <c r="L1319" t="str">
        <f>VLOOKUP(D1319,Products!$A:$F,3,FALSE)</f>
        <v>Apparel</v>
      </c>
      <c r="M1319" t="b">
        <f>VLOOKUP(D1319,Products!$A:$F,6,FALSE)</f>
        <v>1</v>
      </c>
      <c r="N1319">
        <f>VLOOKUP(D1319,Products!$A:$F,4,FALSE)</f>
        <v>391</v>
      </c>
      <c r="O1319" t="str">
        <f>VLOOKUP(C1319,Customers!$A:$F,5,FALSE)</f>
        <v>Retail</v>
      </c>
      <c r="P1319">
        <f>VLOOKUP(C1319,Customers!$A:$F,3,FALSE)</f>
        <v>52</v>
      </c>
      <c r="Q1319" t="str">
        <f>VLOOKUP(E1319,Sales_Reps!$A:$E,3,FALSE)</f>
        <v>East</v>
      </c>
      <c r="R1319" t="str">
        <f>VLOOKUP(E1319,Sales_Reps!$A:$E,2,FALSE)</f>
        <v>Nisha Menon</v>
      </c>
      <c r="S1319">
        <f t="shared" si="20"/>
        <v>0.52317073170731709</v>
      </c>
    </row>
    <row r="1320" spans="1:19" x14ac:dyDescent="0.3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  <c r="L1320" t="str">
        <f>VLOOKUP(D1320,Products!$A:$F,3,FALSE)</f>
        <v>Grocery</v>
      </c>
      <c r="M1320" t="b">
        <f>VLOOKUP(D1320,Products!$A:$F,6,FALSE)</f>
        <v>1</v>
      </c>
      <c r="N1320">
        <f>VLOOKUP(D1320,Products!$A:$F,4,FALSE)</f>
        <v>434</v>
      </c>
      <c r="O1320" t="str">
        <f>VLOOKUP(C1320,Customers!$A:$F,5,FALSE)</f>
        <v>Corporate</v>
      </c>
      <c r="P1320">
        <f>VLOOKUP(C1320,Customers!$A:$F,3,FALSE)</f>
        <v>42</v>
      </c>
      <c r="Q1320" t="str">
        <f>VLOOKUP(E1320,Sales_Reps!$A:$E,3,FALSE)</f>
        <v>South</v>
      </c>
      <c r="R1320" t="str">
        <f>VLOOKUP(E1320,Sales_Reps!$A:$E,2,FALSE)</f>
        <v>Ritu Menon</v>
      </c>
      <c r="S1320">
        <f t="shared" si="20"/>
        <v>0.5525773195876289</v>
      </c>
    </row>
    <row r="1321" spans="1:19" x14ac:dyDescent="0.3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  <c r="L1321" t="str">
        <f>VLOOKUP(D1321,Products!$A:$F,3,FALSE)</f>
        <v>Apparel</v>
      </c>
      <c r="M1321" t="b">
        <f>VLOOKUP(D1321,Products!$A:$F,6,FALSE)</f>
        <v>1</v>
      </c>
      <c r="N1321">
        <f>VLOOKUP(D1321,Products!$A:$F,4,FALSE)</f>
        <v>2629</v>
      </c>
      <c r="O1321" t="str">
        <f>VLOOKUP(C1321,Customers!$A:$F,5,FALSE)</f>
        <v>Retail</v>
      </c>
      <c r="P1321">
        <f>VLOOKUP(C1321,Customers!$A:$F,3,FALSE)</f>
        <v>60</v>
      </c>
      <c r="Q1321" t="str">
        <f>VLOOKUP(E1321,Sales_Reps!$A:$E,3,FALSE)</f>
        <v>East</v>
      </c>
      <c r="R1321" t="str">
        <f>VLOOKUP(E1321,Sales_Reps!$A:$E,2,FALSE)</f>
        <v>Prakash Shah</v>
      </c>
      <c r="S1321">
        <f t="shared" si="20"/>
        <v>0.26151685393258428</v>
      </c>
    </row>
    <row r="1322" spans="1:19" x14ac:dyDescent="0.3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  <c r="L1322" t="str">
        <f>VLOOKUP(D1322,Products!$A:$F,3,FALSE)</f>
        <v>Home</v>
      </c>
      <c r="M1322" t="b">
        <f>VLOOKUP(D1322,Products!$A:$F,6,FALSE)</f>
        <v>1</v>
      </c>
      <c r="N1322">
        <f>VLOOKUP(D1322,Products!$A:$F,4,FALSE)</f>
        <v>464</v>
      </c>
      <c r="O1322" t="str">
        <f>VLOOKUP(C1322,Customers!$A:$F,5,FALSE)</f>
        <v>Retail</v>
      </c>
      <c r="P1322">
        <f>VLOOKUP(C1322,Customers!$A:$F,3,FALSE)</f>
        <v>60</v>
      </c>
      <c r="Q1322" t="str">
        <f>VLOOKUP(E1322,Sales_Reps!$A:$E,3,FALSE)</f>
        <v>South</v>
      </c>
      <c r="R1322" t="str">
        <f>VLOOKUP(E1322,Sales_Reps!$A:$E,2,FALSE)</f>
        <v>Manoj Patel</v>
      </c>
      <c r="S1322">
        <f t="shared" si="20"/>
        <v>0.57431192660550456</v>
      </c>
    </row>
    <row r="1323" spans="1:19" x14ac:dyDescent="0.3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  <c r="L1323" t="str">
        <f>VLOOKUP(D1323,Products!$A:$F,3,FALSE)</f>
        <v>Electronics</v>
      </c>
      <c r="M1323" t="b">
        <f>VLOOKUP(D1323,Products!$A:$F,6,FALSE)</f>
        <v>0</v>
      </c>
      <c r="N1323">
        <f>VLOOKUP(D1323,Products!$A:$F,4,FALSE)</f>
        <v>1259</v>
      </c>
      <c r="O1323" t="str">
        <f>VLOOKUP(C1323,Customers!$A:$F,5,FALSE)</f>
        <v>Retail</v>
      </c>
      <c r="P1323">
        <f>VLOOKUP(C1323,Customers!$A:$F,3,FALSE)</f>
        <v>33</v>
      </c>
      <c r="Q1323" t="str">
        <f>VLOOKUP(E1323,Sales_Reps!$A:$E,3,FALSE)</f>
        <v>East</v>
      </c>
      <c r="R1323" t="str">
        <f>VLOOKUP(E1323,Sales_Reps!$A:$E,2,FALSE)</f>
        <v>Naveen Singh</v>
      </c>
      <c r="S1323">
        <f t="shared" si="20"/>
        <v>0.52669172932330832</v>
      </c>
    </row>
    <row r="1324" spans="1:19" x14ac:dyDescent="0.3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  <c r="L1324" t="str">
        <f>VLOOKUP(D1324,Products!$A:$F,3,FALSE)</f>
        <v>Electronics</v>
      </c>
      <c r="M1324" t="b">
        <f>VLOOKUP(D1324,Products!$A:$F,6,FALSE)</f>
        <v>1</v>
      </c>
      <c r="N1324">
        <f>VLOOKUP(D1324,Products!$A:$F,4,FALSE)</f>
        <v>2865</v>
      </c>
      <c r="O1324" t="str">
        <f>VLOOKUP(C1324,Customers!$A:$F,5,FALSE)</f>
        <v>Retail</v>
      </c>
      <c r="P1324">
        <f>VLOOKUP(C1324,Customers!$A:$F,3,FALSE)</f>
        <v>28</v>
      </c>
      <c r="Q1324" t="str">
        <f>VLOOKUP(E1324,Sales_Reps!$A:$E,3,FALSE)</f>
        <v>North</v>
      </c>
      <c r="R1324" t="str">
        <f>VLOOKUP(E1324,Sales_Reps!$A:$E,2,FALSE)</f>
        <v>Rajesh Malhotra</v>
      </c>
      <c r="S1324">
        <f t="shared" si="20"/>
        <v>0.27833753148614609</v>
      </c>
    </row>
    <row r="1325" spans="1:19" x14ac:dyDescent="0.3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  <c r="L1325" t="str">
        <f>VLOOKUP(D1325,Products!$A:$F,3,FALSE)</f>
        <v>Sports</v>
      </c>
      <c r="M1325" t="b">
        <f>VLOOKUP(D1325,Products!$A:$F,6,FALSE)</f>
        <v>1</v>
      </c>
      <c r="N1325">
        <f>VLOOKUP(D1325,Products!$A:$F,4,FALSE)</f>
        <v>2827</v>
      </c>
      <c r="O1325" t="str">
        <f>VLOOKUP(C1325,Customers!$A:$F,5,FALSE)</f>
        <v>Retail</v>
      </c>
      <c r="P1325">
        <f>VLOOKUP(C1325,Customers!$A:$F,3,FALSE)</f>
        <v>49</v>
      </c>
      <c r="Q1325" t="str">
        <f>VLOOKUP(E1325,Sales_Reps!$A:$E,3,FALSE)</f>
        <v>East</v>
      </c>
      <c r="R1325" t="str">
        <f>VLOOKUP(E1325,Sales_Reps!$A:$E,2,FALSE)</f>
        <v>Gaurav Desai</v>
      </c>
      <c r="S1325">
        <f t="shared" si="20"/>
        <v>0.5926512968299712</v>
      </c>
    </row>
    <row r="1326" spans="1:19" x14ac:dyDescent="0.3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  <c r="L1326" t="str">
        <f>VLOOKUP(D1326,Products!$A:$F,3,FALSE)</f>
        <v>Sports</v>
      </c>
      <c r="M1326" t="b">
        <f>VLOOKUP(D1326,Products!$A:$F,6,FALSE)</f>
        <v>1</v>
      </c>
      <c r="N1326">
        <f>VLOOKUP(D1326,Products!$A:$F,4,FALSE)</f>
        <v>974</v>
      </c>
      <c r="O1326" t="str">
        <f>VLOOKUP(C1326,Customers!$A:$F,5,FALSE)</f>
        <v>SMB</v>
      </c>
      <c r="P1326">
        <f>VLOOKUP(C1326,Customers!$A:$F,3,FALSE)</f>
        <v>27</v>
      </c>
      <c r="Q1326" t="str">
        <f>VLOOKUP(E1326,Sales_Reps!$A:$E,3,FALSE)</f>
        <v>North</v>
      </c>
      <c r="R1326" t="str">
        <f>VLOOKUP(E1326,Sales_Reps!$A:$E,2,FALSE)</f>
        <v>Priya Singh</v>
      </c>
      <c r="S1326">
        <f t="shared" si="20"/>
        <v>0.59416666666666662</v>
      </c>
    </row>
    <row r="1327" spans="1:19" x14ac:dyDescent="0.3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  <c r="L1327" t="str">
        <f>VLOOKUP(D1327,Products!$A:$F,3,FALSE)</f>
        <v>Sports</v>
      </c>
      <c r="M1327" t="b">
        <f>VLOOKUP(D1327,Products!$A:$F,6,FALSE)</f>
        <v>1</v>
      </c>
      <c r="N1327">
        <f>VLOOKUP(D1327,Products!$A:$F,4,FALSE)</f>
        <v>2467</v>
      </c>
      <c r="O1327" t="str">
        <f>VLOOKUP(C1327,Customers!$A:$F,5,FALSE)</f>
        <v>Retail</v>
      </c>
      <c r="P1327">
        <f>VLOOKUP(C1327,Customers!$A:$F,3,FALSE)</f>
        <v>44</v>
      </c>
      <c r="Q1327" t="str">
        <f>VLOOKUP(E1327,Sales_Reps!$A:$E,3,FALSE)</f>
        <v>East</v>
      </c>
      <c r="R1327" t="str">
        <f>VLOOKUP(E1327,Sales_Reps!$A:$E,2,FALSE)</f>
        <v>Vinod Kumar</v>
      </c>
      <c r="S1327">
        <f t="shared" si="20"/>
        <v>0.28492753623188405</v>
      </c>
    </row>
    <row r="1328" spans="1:19" x14ac:dyDescent="0.3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  <c r="L1328" t="str">
        <f>VLOOKUP(D1328,Products!$A:$F,3,FALSE)</f>
        <v>Electronics</v>
      </c>
      <c r="M1328" t="b">
        <f>VLOOKUP(D1328,Products!$A:$F,6,FALSE)</f>
        <v>1</v>
      </c>
      <c r="N1328">
        <f>VLOOKUP(D1328,Products!$A:$F,4,FALSE)</f>
        <v>517</v>
      </c>
      <c r="O1328" t="str">
        <f>VLOOKUP(C1328,Customers!$A:$F,5,FALSE)</f>
        <v>SMB</v>
      </c>
      <c r="P1328">
        <f>VLOOKUP(C1328,Customers!$A:$F,3,FALSE)</f>
        <v>30</v>
      </c>
      <c r="Q1328" t="str">
        <f>VLOOKUP(E1328,Sales_Reps!$A:$E,3,FALSE)</f>
        <v>North</v>
      </c>
      <c r="R1328" t="str">
        <f>VLOOKUP(E1328,Sales_Reps!$A:$E,2,FALSE)</f>
        <v>Priya Singh</v>
      </c>
      <c r="S1328">
        <f t="shared" si="20"/>
        <v>0.57622950819672136</v>
      </c>
    </row>
    <row r="1329" spans="1:19" x14ac:dyDescent="0.3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  <c r="L1329" t="str">
        <f>VLOOKUP(D1329,Products!$A:$F,3,FALSE)</f>
        <v>Apparel</v>
      </c>
      <c r="M1329" t="b">
        <f>VLOOKUP(D1329,Products!$A:$F,6,FALSE)</f>
        <v>1</v>
      </c>
      <c r="N1329">
        <f>VLOOKUP(D1329,Products!$A:$F,4,FALSE)</f>
        <v>396</v>
      </c>
      <c r="O1329" t="str">
        <f>VLOOKUP(C1329,Customers!$A:$F,5,FALSE)</f>
        <v>Retail</v>
      </c>
      <c r="P1329">
        <f>VLOOKUP(C1329,Customers!$A:$F,3,FALSE)</f>
        <v>62</v>
      </c>
      <c r="Q1329" t="str">
        <f>VLOOKUP(E1329,Sales_Reps!$A:$E,3,FALSE)</f>
        <v>North</v>
      </c>
      <c r="R1329" t="str">
        <f>VLOOKUP(E1329,Sales_Reps!$A:$E,2,FALSE)</f>
        <v>Suresh Menon</v>
      </c>
      <c r="S1329">
        <f t="shared" si="20"/>
        <v>0.36129032258064514</v>
      </c>
    </row>
    <row r="1330" spans="1:19" x14ac:dyDescent="0.3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  <c r="L1330" t="str">
        <f>VLOOKUP(D1330,Products!$A:$F,3,FALSE)</f>
        <v>Electronics</v>
      </c>
      <c r="M1330" t="b">
        <f>VLOOKUP(D1330,Products!$A:$F,6,FALSE)</f>
        <v>1</v>
      </c>
      <c r="N1330">
        <f>VLOOKUP(D1330,Products!$A:$F,4,FALSE)</f>
        <v>128</v>
      </c>
      <c r="O1330" t="str">
        <f>VLOOKUP(C1330,Customers!$A:$F,5,FALSE)</f>
        <v>SMB</v>
      </c>
      <c r="P1330">
        <f>VLOOKUP(C1330,Customers!$A:$F,3,FALSE)</f>
        <v>64</v>
      </c>
      <c r="Q1330" t="str">
        <f>VLOOKUP(E1330,Sales_Reps!$A:$E,3,FALSE)</f>
        <v>East</v>
      </c>
      <c r="R1330" t="str">
        <f>VLOOKUP(E1330,Sales_Reps!$A:$E,2,FALSE)</f>
        <v>Vinod Kumar</v>
      </c>
      <c r="S1330">
        <f t="shared" si="20"/>
        <v>0.57333333333333336</v>
      </c>
    </row>
    <row r="1331" spans="1:19" x14ac:dyDescent="0.3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  <c r="L1331" t="str">
        <f>VLOOKUP(D1331,Products!$A:$F,3,FALSE)</f>
        <v>Sports</v>
      </c>
      <c r="M1331" t="b">
        <f>VLOOKUP(D1331,Products!$A:$F,6,FALSE)</f>
        <v>1</v>
      </c>
      <c r="N1331">
        <f>VLOOKUP(D1331,Products!$A:$F,4,FALSE)</f>
        <v>516</v>
      </c>
      <c r="O1331" t="str">
        <f>VLOOKUP(C1331,Customers!$A:$F,5,FALSE)</f>
        <v>Retail</v>
      </c>
      <c r="P1331">
        <f>VLOOKUP(C1331,Customers!$A:$F,3,FALSE)</f>
        <v>35</v>
      </c>
      <c r="Q1331" t="str">
        <f>VLOOKUP(E1331,Sales_Reps!$A:$E,3,FALSE)</f>
        <v>East</v>
      </c>
      <c r="R1331" t="str">
        <f>VLOOKUP(E1331,Sales_Reps!$A:$E,2,FALSE)</f>
        <v>Meera Iyer</v>
      </c>
      <c r="S1331">
        <f t="shared" si="20"/>
        <v>0.4891089108910891</v>
      </c>
    </row>
    <row r="1332" spans="1:19" x14ac:dyDescent="0.3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  <c r="L1332" t="str">
        <f>VLOOKUP(D1332,Products!$A:$F,3,FALSE)</f>
        <v>Home</v>
      </c>
      <c r="M1332" t="b">
        <f>VLOOKUP(D1332,Products!$A:$F,6,FALSE)</f>
        <v>1</v>
      </c>
      <c r="N1332">
        <f>VLOOKUP(D1332,Products!$A:$F,4,FALSE)</f>
        <v>2459</v>
      </c>
      <c r="O1332" t="str">
        <f>VLOOKUP(C1332,Customers!$A:$F,5,FALSE)</f>
        <v>Retail</v>
      </c>
      <c r="P1332">
        <f>VLOOKUP(C1332,Customers!$A:$F,3,FALSE)</f>
        <v>63</v>
      </c>
      <c r="Q1332" t="str">
        <f>VLOOKUP(E1332,Sales_Reps!$A:$E,3,FALSE)</f>
        <v>West</v>
      </c>
      <c r="R1332" t="str">
        <f>VLOOKUP(E1332,Sales_Reps!$A:$E,2,FALSE)</f>
        <v>Ramesh Bhatt</v>
      </c>
      <c r="S1332">
        <f t="shared" si="20"/>
        <v>0.51594488188976373</v>
      </c>
    </row>
    <row r="1333" spans="1:19" x14ac:dyDescent="0.3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  <c r="L1333" t="str">
        <f>VLOOKUP(D1333,Products!$A:$F,3,FALSE)</f>
        <v>Apparel</v>
      </c>
      <c r="M1333" t="b">
        <f>VLOOKUP(D1333,Products!$A:$F,6,FALSE)</f>
        <v>1</v>
      </c>
      <c r="N1333">
        <f>VLOOKUP(D1333,Products!$A:$F,4,FALSE)</f>
        <v>1886</v>
      </c>
      <c r="O1333" t="str">
        <f>VLOOKUP(C1333,Customers!$A:$F,5,FALSE)</f>
        <v>SMB</v>
      </c>
      <c r="P1333">
        <f>VLOOKUP(C1333,Customers!$A:$F,3,FALSE)</f>
        <v>40</v>
      </c>
      <c r="Q1333" t="str">
        <f>VLOOKUP(E1333,Sales_Reps!$A:$E,3,FALSE)</f>
        <v>West</v>
      </c>
      <c r="R1333" t="str">
        <f>VLOOKUP(E1333,Sales_Reps!$A:$E,2,FALSE)</f>
        <v>Ramesh Bhatt</v>
      </c>
      <c r="S1333">
        <f t="shared" si="20"/>
        <v>0.4031645569620253</v>
      </c>
    </row>
    <row r="1334" spans="1:19" x14ac:dyDescent="0.3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  <c r="L1334" t="str">
        <f>VLOOKUP(D1334,Products!$A:$F,3,FALSE)</f>
        <v>Beauty</v>
      </c>
      <c r="M1334" t="b">
        <f>VLOOKUP(D1334,Products!$A:$F,6,FALSE)</f>
        <v>1</v>
      </c>
      <c r="N1334">
        <f>VLOOKUP(D1334,Products!$A:$F,4,FALSE)</f>
        <v>2420</v>
      </c>
      <c r="O1334" t="str">
        <f>VLOOKUP(C1334,Customers!$A:$F,5,FALSE)</f>
        <v>SMB</v>
      </c>
      <c r="P1334">
        <f>VLOOKUP(C1334,Customers!$A:$F,3,FALSE)</f>
        <v>49</v>
      </c>
      <c r="Q1334" t="str">
        <f>VLOOKUP(E1334,Sales_Reps!$A:$E,3,FALSE)</f>
        <v>South</v>
      </c>
      <c r="R1334" t="str">
        <f>VLOOKUP(E1334,Sales_Reps!$A:$E,2,FALSE)</f>
        <v>Anjali Chopra</v>
      </c>
      <c r="S1334">
        <f t="shared" si="20"/>
        <v>0.29855072463768118</v>
      </c>
    </row>
    <row r="1335" spans="1:19" x14ac:dyDescent="0.3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  <c r="L1335" t="str">
        <f>VLOOKUP(D1335,Products!$A:$F,3,FALSE)</f>
        <v>Electronics</v>
      </c>
      <c r="M1335" t="b">
        <f>VLOOKUP(D1335,Products!$A:$F,6,FALSE)</f>
        <v>1</v>
      </c>
      <c r="N1335">
        <f>VLOOKUP(D1335,Products!$A:$F,4,FALSE)</f>
        <v>2405</v>
      </c>
      <c r="O1335" t="str">
        <f>VLOOKUP(C1335,Customers!$A:$F,5,FALSE)</f>
        <v>Corporate</v>
      </c>
      <c r="P1335">
        <f>VLOOKUP(C1335,Customers!$A:$F,3,FALSE)</f>
        <v>47</v>
      </c>
      <c r="Q1335" t="str">
        <f>VLOOKUP(E1335,Sales_Reps!$A:$E,3,FALSE)</f>
        <v>North</v>
      </c>
      <c r="R1335" t="str">
        <f>VLOOKUP(E1335,Sales_Reps!$A:$E,2,FALSE)</f>
        <v>Neha Desai</v>
      </c>
      <c r="S1335">
        <f t="shared" si="20"/>
        <v>0.54878048780487809</v>
      </c>
    </row>
    <row r="1336" spans="1:19" x14ac:dyDescent="0.3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  <c r="L1336" t="str">
        <f>VLOOKUP(D1336,Products!$A:$F,3,FALSE)</f>
        <v>Sports</v>
      </c>
      <c r="M1336" t="b">
        <f>VLOOKUP(D1336,Products!$A:$F,6,FALSE)</f>
        <v>1</v>
      </c>
      <c r="N1336">
        <f>VLOOKUP(D1336,Products!$A:$F,4,FALSE)</f>
        <v>2827</v>
      </c>
      <c r="O1336" t="str">
        <f>VLOOKUP(C1336,Customers!$A:$F,5,FALSE)</f>
        <v>Retail</v>
      </c>
      <c r="P1336">
        <f>VLOOKUP(C1336,Customers!$A:$F,3,FALSE)</f>
        <v>44</v>
      </c>
      <c r="Q1336" t="str">
        <f>VLOOKUP(E1336,Sales_Reps!$A:$E,3,FALSE)</f>
        <v>South</v>
      </c>
      <c r="R1336" t="str">
        <f>VLOOKUP(E1336,Sales_Reps!$A:$E,2,FALSE)</f>
        <v>Ritu Menon</v>
      </c>
      <c r="S1336">
        <f t="shared" si="20"/>
        <v>0.5926512968299712</v>
      </c>
    </row>
    <row r="1337" spans="1:19" x14ac:dyDescent="0.3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  <c r="L1337" t="str">
        <f>VLOOKUP(D1337,Products!$A:$F,3,FALSE)</f>
        <v>Home</v>
      </c>
      <c r="M1337" t="b">
        <f>VLOOKUP(D1337,Products!$A:$F,6,FALSE)</f>
        <v>1</v>
      </c>
      <c r="N1337">
        <f>VLOOKUP(D1337,Products!$A:$F,4,FALSE)</f>
        <v>329</v>
      </c>
      <c r="O1337" t="str">
        <f>VLOOKUP(C1337,Customers!$A:$F,5,FALSE)</f>
        <v>Retail</v>
      </c>
      <c r="P1337">
        <f>VLOOKUP(C1337,Customers!$A:$F,3,FALSE)</f>
        <v>34</v>
      </c>
      <c r="Q1337" t="str">
        <f>VLOOKUP(E1337,Sales_Reps!$A:$E,3,FALSE)</f>
        <v>West</v>
      </c>
      <c r="R1337" t="str">
        <f>VLOOKUP(E1337,Sales_Reps!$A:$E,2,FALSE)</f>
        <v>Preeti Shah</v>
      </c>
      <c r="S1337">
        <f t="shared" si="20"/>
        <v>0.50151515151515147</v>
      </c>
    </row>
    <row r="1338" spans="1:19" x14ac:dyDescent="0.3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  <c r="L1338" t="str">
        <f>VLOOKUP(D1338,Products!$A:$F,3,FALSE)</f>
        <v>Beauty</v>
      </c>
      <c r="M1338" t="b">
        <f>VLOOKUP(D1338,Products!$A:$F,6,FALSE)</f>
        <v>1</v>
      </c>
      <c r="N1338">
        <f>VLOOKUP(D1338,Products!$A:$F,4,FALSE)</f>
        <v>2237</v>
      </c>
      <c r="O1338" t="str">
        <f>VLOOKUP(C1338,Customers!$A:$F,5,FALSE)</f>
        <v>Corporate</v>
      </c>
      <c r="P1338">
        <f>VLOOKUP(C1338,Customers!$A:$F,3,FALSE)</f>
        <v>52</v>
      </c>
      <c r="Q1338" t="str">
        <f>VLOOKUP(E1338,Sales_Reps!$A:$E,3,FALSE)</f>
        <v>South</v>
      </c>
      <c r="R1338" t="str">
        <f>VLOOKUP(E1338,Sales_Reps!$A:$E,2,FALSE)</f>
        <v>Sanjay Kapoor</v>
      </c>
      <c r="S1338">
        <f t="shared" si="20"/>
        <v>0.56137254901960787</v>
      </c>
    </row>
    <row r="1339" spans="1:19" x14ac:dyDescent="0.3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  <c r="L1339" t="str">
        <f>VLOOKUP(D1339,Products!$A:$F,3,FALSE)</f>
        <v>Beauty</v>
      </c>
      <c r="M1339" t="b">
        <f>VLOOKUP(D1339,Products!$A:$F,6,FALSE)</f>
        <v>1</v>
      </c>
      <c r="N1339">
        <f>VLOOKUP(D1339,Products!$A:$F,4,FALSE)</f>
        <v>1222</v>
      </c>
      <c r="O1339" t="e">
        <f>VLOOKUP(C1339,Customers!$A:$F,5,FALSE)</f>
        <v>#N/A</v>
      </c>
      <c r="P1339" t="e">
        <f>VLOOKUP(C1339,Customers!$A:$F,3,FALSE)</f>
        <v>#N/A</v>
      </c>
      <c r="Q1339" t="str">
        <f>VLOOKUP(E1339,Sales_Reps!$A:$E,3,FALSE)</f>
        <v>South</v>
      </c>
      <c r="R1339" t="str">
        <f>VLOOKUP(E1339,Sales_Reps!$A:$E,2,FALSE)</f>
        <v>Ritu Menon</v>
      </c>
      <c r="S1339">
        <f t="shared" si="20"/>
        <v>0.2593939393939394</v>
      </c>
    </row>
    <row r="1340" spans="1:19" x14ac:dyDescent="0.3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  <c r="L1340" t="str">
        <f>VLOOKUP(D1340,Products!$A:$F,3,FALSE)</f>
        <v>Apparel</v>
      </c>
      <c r="M1340" t="b">
        <f>VLOOKUP(D1340,Products!$A:$F,6,FALSE)</f>
        <v>1</v>
      </c>
      <c r="N1340">
        <f>VLOOKUP(D1340,Products!$A:$F,4,FALSE)</f>
        <v>2611</v>
      </c>
      <c r="O1340" t="str">
        <f>VLOOKUP(C1340,Customers!$A:$F,5,FALSE)</f>
        <v>Retail</v>
      </c>
      <c r="P1340">
        <f>VLOOKUP(C1340,Customers!$A:$F,3,FALSE)</f>
        <v>24</v>
      </c>
      <c r="Q1340" t="str">
        <f>VLOOKUP(E1340,Sales_Reps!$A:$E,3,FALSE)</f>
        <v>East</v>
      </c>
      <c r="R1340" t="str">
        <f>VLOOKUP(E1340,Sales_Reps!$A:$E,2,FALSE)</f>
        <v>Shalini Patel</v>
      </c>
      <c r="S1340">
        <f t="shared" si="20"/>
        <v>0.28269230769230769</v>
      </c>
    </row>
    <row r="1341" spans="1:19" x14ac:dyDescent="0.3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  <c r="L1341" t="str">
        <f>VLOOKUP(D1341,Products!$A:$F,3,FALSE)</f>
        <v>Beauty</v>
      </c>
      <c r="M1341" t="b">
        <f>VLOOKUP(D1341,Products!$A:$F,6,FALSE)</f>
        <v>1</v>
      </c>
      <c r="N1341">
        <f>VLOOKUP(D1341,Products!$A:$F,4,FALSE)</f>
        <v>2768</v>
      </c>
      <c r="O1341" t="str">
        <f>VLOOKUP(C1341,Customers!$A:$F,5,FALSE)</f>
        <v>Retail</v>
      </c>
      <c r="P1341">
        <f>VLOOKUP(C1341,Customers!$A:$F,3,FALSE)</f>
        <v>64</v>
      </c>
      <c r="Q1341" t="str">
        <f>VLOOKUP(E1341,Sales_Reps!$A:$E,3,FALSE)</f>
        <v>West</v>
      </c>
      <c r="R1341" t="str">
        <f>VLOOKUP(E1341,Sales_Reps!$A:$E,2,FALSE)</f>
        <v>Arun Iyer</v>
      </c>
      <c r="S1341">
        <f t="shared" si="20"/>
        <v>0.43278688524590164</v>
      </c>
    </row>
    <row r="1342" spans="1:19" x14ac:dyDescent="0.3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  <c r="L1342" t="str">
        <f>VLOOKUP(D1342,Products!$A:$F,3,FALSE)</f>
        <v>Electronics</v>
      </c>
      <c r="M1342" t="b">
        <f>VLOOKUP(D1342,Products!$A:$F,6,FALSE)</f>
        <v>1</v>
      </c>
      <c r="N1342">
        <f>VLOOKUP(D1342,Products!$A:$F,4,FALSE)</f>
        <v>2405</v>
      </c>
      <c r="O1342" t="str">
        <f>VLOOKUP(C1342,Customers!$A:$F,5,FALSE)</f>
        <v>Retail</v>
      </c>
      <c r="P1342">
        <f>VLOOKUP(C1342,Customers!$A:$F,3,FALSE)</f>
        <v>35</v>
      </c>
      <c r="Q1342" t="str">
        <f>VLOOKUP(E1342,Sales_Reps!$A:$E,3,FALSE)</f>
        <v>West</v>
      </c>
      <c r="R1342" t="str">
        <f>VLOOKUP(E1342,Sales_Reps!$A:$E,2,FALSE)</f>
        <v>Preeti Shah</v>
      </c>
      <c r="S1342">
        <f t="shared" si="20"/>
        <v>0.54878048780487809</v>
      </c>
    </row>
    <row r="1343" spans="1:19" x14ac:dyDescent="0.3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  <c r="L1343" t="str">
        <f>VLOOKUP(D1343,Products!$A:$F,3,FALSE)</f>
        <v>Home</v>
      </c>
      <c r="M1343" t="b">
        <f>VLOOKUP(D1343,Products!$A:$F,6,FALSE)</f>
        <v>1</v>
      </c>
      <c r="N1343">
        <f>VLOOKUP(D1343,Products!$A:$F,4,FALSE)</f>
        <v>2549</v>
      </c>
      <c r="O1343" t="str">
        <f>VLOOKUP(C1343,Customers!$A:$F,5,FALSE)</f>
        <v>SMB</v>
      </c>
      <c r="P1343">
        <f>VLOOKUP(C1343,Customers!$A:$F,3,FALSE)</f>
        <v>49</v>
      </c>
      <c r="Q1343" t="str">
        <f>VLOOKUP(E1343,Sales_Reps!$A:$E,3,FALSE)</f>
        <v>East</v>
      </c>
      <c r="R1343" t="str">
        <f>VLOOKUP(E1343,Sales_Reps!$A:$E,2,FALSE)</f>
        <v>Vinod Kumar</v>
      </c>
      <c r="S1343">
        <f t="shared" si="20"/>
        <v>0.53570127504553733</v>
      </c>
    </row>
    <row r="1344" spans="1:19" x14ac:dyDescent="0.3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  <c r="L1344" t="str">
        <f>VLOOKUP(D1344,Products!$A:$F,3,FALSE)</f>
        <v>Sports</v>
      </c>
      <c r="M1344" t="b">
        <f>VLOOKUP(D1344,Products!$A:$F,6,FALSE)</f>
        <v>1</v>
      </c>
      <c r="N1344">
        <f>VLOOKUP(D1344,Products!$A:$F,4,FALSE)</f>
        <v>147</v>
      </c>
      <c r="O1344" t="str">
        <f>VLOOKUP(C1344,Customers!$A:$F,5,FALSE)</f>
        <v>Corporate</v>
      </c>
      <c r="P1344">
        <f>VLOOKUP(C1344,Customers!$A:$F,3,FALSE)</f>
        <v>55</v>
      </c>
      <c r="Q1344" t="str">
        <f>VLOOKUP(E1344,Sales_Reps!$A:$E,3,FALSE)</f>
        <v>North</v>
      </c>
      <c r="R1344" t="str">
        <f>VLOOKUP(E1344,Sales_Reps!$A:$E,2,FALSE)</f>
        <v>Sunita Malhotra</v>
      </c>
      <c r="S1344">
        <f t="shared" si="20"/>
        <v>0.22631578947368422</v>
      </c>
    </row>
    <row r="1345" spans="1:19" x14ac:dyDescent="0.3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  <c r="L1345" t="str">
        <f>VLOOKUP(D1345,Products!$A:$F,3,FALSE)</f>
        <v>Apparel</v>
      </c>
      <c r="M1345" t="b">
        <f>VLOOKUP(D1345,Products!$A:$F,6,FALSE)</f>
        <v>1</v>
      </c>
      <c r="N1345">
        <f>VLOOKUP(D1345,Products!$A:$F,4,FALSE)</f>
        <v>1886</v>
      </c>
      <c r="O1345" t="str">
        <f>VLOOKUP(C1345,Customers!$A:$F,5,FALSE)</f>
        <v>Retail</v>
      </c>
      <c r="P1345">
        <f>VLOOKUP(C1345,Customers!$A:$F,3,FALSE)</f>
        <v>27</v>
      </c>
      <c r="Q1345" t="str">
        <f>VLOOKUP(E1345,Sales_Reps!$A:$E,3,FALSE)</f>
        <v>South</v>
      </c>
      <c r="R1345" t="str">
        <f>VLOOKUP(E1345,Sales_Reps!$A:$E,2,FALSE)</f>
        <v>Anjali Chopra</v>
      </c>
      <c r="S1345">
        <f t="shared" si="20"/>
        <v>0.4031645569620253</v>
      </c>
    </row>
    <row r="1346" spans="1:19" x14ac:dyDescent="0.3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  <c r="L1346" t="str">
        <f>VLOOKUP(D1346,Products!$A:$F,3,FALSE)</f>
        <v>Home</v>
      </c>
      <c r="M1346" t="b">
        <f>VLOOKUP(D1346,Products!$A:$F,6,FALSE)</f>
        <v>1</v>
      </c>
      <c r="N1346">
        <f>VLOOKUP(D1346,Products!$A:$F,4,FALSE)</f>
        <v>464</v>
      </c>
      <c r="O1346" t="str">
        <f>VLOOKUP(C1346,Customers!$A:$F,5,FALSE)</f>
        <v>Retail</v>
      </c>
      <c r="P1346">
        <f>VLOOKUP(C1346,Customers!$A:$F,3,FALSE)</f>
        <v>23</v>
      </c>
      <c r="Q1346" t="str">
        <f>VLOOKUP(E1346,Sales_Reps!$A:$E,3,FALSE)</f>
        <v>East</v>
      </c>
      <c r="R1346" t="str">
        <f>VLOOKUP(E1346,Sales_Reps!$A:$E,2,FALSE)</f>
        <v>Vinod Kumar</v>
      </c>
      <c r="S1346">
        <f t="shared" si="20"/>
        <v>0.57431192660550456</v>
      </c>
    </row>
    <row r="1347" spans="1:19" x14ac:dyDescent="0.3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  <c r="L1347" t="str">
        <f>VLOOKUP(D1347,Products!$A:$F,3,FALSE)</f>
        <v>Home</v>
      </c>
      <c r="M1347" t="b">
        <f>VLOOKUP(D1347,Products!$A:$F,6,FALSE)</f>
        <v>1</v>
      </c>
      <c r="N1347">
        <f>VLOOKUP(D1347,Products!$A:$F,4,FALSE)</f>
        <v>288</v>
      </c>
      <c r="O1347" t="str">
        <f>VLOOKUP(C1347,Customers!$A:$F,5,FALSE)</f>
        <v>Corporate</v>
      </c>
      <c r="P1347">
        <f>VLOOKUP(C1347,Customers!$A:$F,3,FALSE)</f>
        <v>27</v>
      </c>
      <c r="Q1347" t="str">
        <f>VLOOKUP(E1347,Sales_Reps!$A:$E,3,FALSE)</f>
        <v>North</v>
      </c>
      <c r="R1347" t="str">
        <f>VLOOKUP(E1347,Sales_Reps!$A:$E,2,FALSE)</f>
        <v>Priya Singh</v>
      </c>
      <c r="S1347">
        <f t="shared" ref="S1347:S1410" si="21">IFERROR((G1347-N1347)/G1347,"")</f>
        <v>0.22162162162162163</v>
      </c>
    </row>
    <row r="1348" spans="1:19" x14ac:dyDescent="0.3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  <c r="L1348" t="str">
        <f>VLOOKUP(D1348,Products!$A:$F,3,FALSE)</f>
        <v>Electronics</v>
      </c>
      <c r="M1348" t="b">
        <f>VLOOKUP(D1348,Products!$A:$F,6,FALSE)</f>
        <v>0</v>
      </c>
      <c r="N1348">
        <f>VLOOKUP(D1348,Products!$A:$F,4,FALSE)</f>
        <v>1259</v>
      </c>
      <c r="O1348" t="str">
        <f>VLOOKUP(C1348,Customers!$A:$F,5,FALSE)</f>
        <v>Retail</v>
      </c>
      <c r="P1348">
        <f>VLOOKUP(C1348,Customers!$A:$F,3,FALSE)</f>
        <v>51</v>
      </c>
      <c r="Q1348" t="str">
        <f>VLOOKUP(E1348,Sales_Reps!$A:$E,3,FALSE)</f>
        <v>North</v>
      </c>
      <c r="R1348" t="str">
        <f>VLOOKUP(E1348,Sales_Reps!$A:$E,2,FALSE)</f>
        <v>Sunita Malhotra</v>
      </c>
      <c r="S1348">
        <f t="shared" si="21"/>
        <v>0.52669172932330832</v>
      </c>
    </row>
    <row r="1349" spans="1:19" x14ac:dyDescent="0.3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  <c r="L1349" t="str">
        <f>VLOOKUP(D1349,Products!$A:$F,3,FALSE)</f>
        <v>Apparel</v>
      </c>
      <c r="M1349" t="b">
        <f>VLOOKUP(D1349,Products!$A:$F,6,FALSE)</f>
        <v>1</v>
      </c>
      <c r="N1349">
        <f>VLOOKUP(D1349,Products!$A:$F,4,FALSE)</f>
        <v>2629</v>
      </c>
      <c r="O1349" t="str">
        <f>VLOOKUP(C1349,Customers!$A:$F,5,FALSE)</f>
        <v>Retail</v>
      </c>
      <c r="P1349">
        <f>VLOOKUP(C1349,Customers!$A:$F,3,FALSE)</f>
        <v>34</v>
      </c>
      <c r="Q1349" t="str">
        <f>VLOOKUP(E1349,Sales_Reps!$A:$E,3,FALSE)</f>
        <v>East</v>
      </c>
      <c r="R1349" t="str">
        <f>VLOOKUP(E1349,Sales_Reps!$A:$E,2,FALSE)</f>
        <v>Shalini Patel</v>
      </c>
      <c r="S1349">
        <f t="shared" si="21"/>
        <v>0.26151685393258428</v>
      </c>
    </row>
    <row r="1350" spans="1:19" x14ac:dyDescent="0.3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  <c r="L1350" t="str">
        <f>VLOOKUP(D1350,Products!$A:$F,3,FALSE)</f>
        <v>Beauty</v>
      </c>
      <c r="M1350" t="b">
        <f>VLOOKUP(D1350,Products!$A:$F,6,FALSE)</f>
        <v>1</v>
      </c>
      <c r="N1350">
        <f>VLOOKUP(D1350,Products!$A:$F,4,FALSE)</f>
        <v>675</v>
      </c>
      <c r="O1350" t="str">
        <f>VLOOKUP(C1350,Customers!$A:$F,5,FALSE)</f>
        <v>Corporate</v>
      </c>
      <c r="P1350">
        <f>VLOOKUP(C1350,Customers!$A:$F,3,FALSE)</f>
        <v>52</v>
      </c>
      <c r="Q1350" t="str">
        <f>VLOOKUP(E1350,Sales_Reps!$A:$E,3,FALSE)</f>
        <v>North</v>
      </c>
      <c r="R1350" t="str">
        <f>VLOOKUP(E1350,Sales_Reps!$A:$E,2,FALSE)</f>
        <v>Vikram Patel</v>
      </c>
      <c r="S1350">
        <f t="shared" si="21"/>
        <v>0.296875</v>
      </c>
    </row>
    <row r="1351" spans="1:19" x14ac:dyDescent="0.3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  <c r="L1351" t="str">
        <f>VLOOKUP(D1351,Products!$A:$F,3,FALSE)</f>
        <v>Home</v>
      </c>
      <c r="M1351" t="b">
        <f>VLOOKUP(D1351,Products!$A:$F,6,FALSE)</f>
        <v>1</v>
      </c>
      <c r="N1351">
        <f>VLOOKUP(D1351,Products!$A:$F,4,FALSE)</f>
        <v>288</v>
      </c>
      <c r="O1351" t="str">
        <f>VLOOKUP(C1351,Customers!$A:$F,5,FALSE)</f>
        <v>Retail</v>
      </c>
      <c r="P1351">
        <f>VLOOKUP(C1351,Customers!$A:$F,3,FALSE)</f>
        <v>37</v>
      </c>
      <c r="Q1351" t="str">
        <f>VLOOKUP(E1351,Sales_Reps!$A:$E,3,FALSE)</f>
        <v>West</v>
      </c>
      <c r="R1351" t="str">
        <f>VLOOKUP(E1351,Sales_Reps!$A:$E,2,FALSE)</f>
        <v>Rekha Chopra</v>
      </c>
      <c r="S1351">
        <f t="shared" si="21"/>
        <v>0.22162162162162163</v>
      </c>
    </row>
    <row r="1352" spans="1:19" x14ac:dyDescent="0.3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  <c r="L1352" t="str">
        <f>VLOOKUP(D1352,Products!$A:$F,3,FALSE)</f>
        <v>Apparel</v>
      </c>
      <c r="M1352" t="b">
        <f>VLOOKUP(D1352,Products!$A:$F,6,FALSE)</f>
        <v>1</v>
      </c>
      <c r="N1352">
        <f>VLOOKUP(D1352,Products!$A:$F,4,FALSE)</f>
        <v>1962</v>
      </c>
      <c r="O1352" t="str">
        <f>VLOOKUP(C1352,Customers!$A:$F,5,FALSE)</f>
        <v>Retail</v>
      </c>
      <c r="P1352">
        <f>VLOOKUP(C1352,Customers!$A:$F,3,FALSE)</f>
        <v>37</v>
      </c>
      <c r="Q1352" t="str">
        <f>VLOOKUP(E1352,Sales_Reps!$A:$E,3,FALSE)</f>
        <v>West</v>
      </c>
      <c r="R1352" t="str">
        <f>VLOOKUP(E1352,Sales_Reps!$A:$E,2,FALSE)</f>
        <v>Arun Iyer</v>
      </c>
      <c r="S1352">
        <f t="shared" si="21"/>
        <v>0.2786764705882353</v>
      </c>
    </row>
    <row r="1353" spans="1:19" x14ac:dyDescent="0.3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  <c r="L1353" t="str">
        <f>VLOOKUP(D1353,Products!$A:$F,3,FALSE)</f>
        <v>Home</v>
      </c>
      <c r="M1353" t="b">
        <f>VLOOKUP(D1353,Products!$A:$F,6,FALSE)</f>
        <v>1</v>
      </c>
      <c r="N1353">
        <f>VLOOKUP(D1353,Products!$A:$F,4,FALSE)</f>
        <v>2459</v>
      </c>
      <c r="O1353" t="str">
        <f>VLOOKUP(C1353,Customers!$A:$F,5,FALSE)</f>
        <v>Corporate</v>
      </c>
      <c r="P1353">
        <f>VLOOKUP(C1353,Customers!$A:$F,3,FALSE)</f>
        <v>24</v>
      </c>
      <c r="Q1353" t="str">
        <f>VLOOKUP(E1353,Sales_Reps!$A:$E,3,FALSE)</f>
        <v>North</v>
      </c>
      <c r="R1353" t="str">
        <f>VLOOKUP(E1353,Sales_Reps!$A:$E,2,FALSE)</f>
        <v>Vikram Patel</v>
      </c>
      <c r="S1353">
        <f t="shared" si="21"/>
        <v>0.51594488188976373</v>
      </c>
    </row>
    <row r="1354" spans="1:19" x14ac:dyDescent="0.3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  <c r="L1354" t="str">
        <f>VLOOKUP(D1354,Products!$A:$F,3,FALSE)</f>
        <v>Beauty</v>
      </c>
      <c r="M1354" t="b">
        <f>VLOOKUP(D1354,Products!$A:$F,6,FALSE)</f>
        <v>1</v>
      </c>
      <c r="N1354">
        <f>VLOOKUP(D1354,Products!$A:$F,4,FALSE)</f>
        <v>1219</v>
      </c>
      <c r="O1354" t="str">
        <f>VLOOKUP(C1354,Customers!$A:$F,5,FALSE)</f>
        <v>Corporate</v>
      </c>
      <c r="P1354">
        <f>VLOOKUP(C1354,Customers!$A:$F,3,FALSE)</f>
        <v>25</v>
      </c>
      <c r="Q1354" t="str">
        <f>VLOOKUP(E1354,Sales_Reps!$A:$E,3,FALSE)</f>
        <v>North</v>
      </c>
      <c r="R1354" t="str">
        <f>VLOOKUP(E1354,Sales_Reps!$A:$E,2,FALSE)</f>
        <v>Kavita Patel</v>
      </c>
      <c r="S1354">
        <f t="shared" si="21"/>
        <v>0.46768558951965067</v>
      </c>
    </row>
    <row r="1355" spans="1:19" x14ac:dyDescent="0.3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  <c r="L1355" t="str">
        <f>VLOOKUP(D1355,Products!$A:$F,3,FALSE)</f>
        <v>Grocery</v>
      </c>
      <c r="M1355" t="b">
        <f>VLOOKUP(D1355,Products!$A:$F,6,FALSE)</f>
        <v>1</v>
      </c>
      <c r="N1355">
        <f>VLOOKUP(D1355,Products!$A:$F,4,FALSE)</f>
        <v>1435</v>
      </c>
      <c r="O1355" t="str">
        <f>VLOOKUP(C1355,Customers!$A:$F,5,FALSE)</f>
        <v>Corporate</v>
      </c>
      <c r="P1355">
        <f>VLOOKUP(C1355,Customers!$A:$F,3,FALSE)</f>
        <v>42</v>
      </c>
      <c r="Q1355" t="str">
        <f>VLOOKUP(E1355,Sales_Reps!$A:$E,3,FALSE)</f>
        <v>North</v>
      </c>
      <c r="R1355" t="str">
        <f>VLOOKUP(E1355,Sales_Reps!$A:$E,2,FALSE)</f>
        <v>Neha Desai</v>
      </c>
      <c r="S1355">
        <f t="shared" si="21"/>
        <v>0.48007246376811596</v>
      </c>
    </row>
    <row r="1356" spans="1:19" x14ac:dyDescent="0.3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  <c r="L1356" t="str">
        <f>VLOOKUP(D1356,Products!$A:$F,3,FALSE)</f>
        <v>Grocery</v>
      </c>
      <c r="M1356" t="b">
        <f>VLOOKUP(D1356,Products!$A:$F,6,FALSE)</f>
        <v>1</v>
      </c>
      <c r="N1356">
        <f>VLOOKUP(D1356,Products!$A:$F,4,FALSE)</f>
        <v>1203</v>
      </c>
      <c r="O1356" t="str">
        <f>VLOOKUP(C1356,Customers!$A:$F,5,FALSE)</f>
        <v>Retail</v>
      </c>
      <c r="P1356">
        <f>VLOOKUP(C1356,Customers!$A:$F,3,FALSE)</f>
        <v>65</v>
      </c>
      <c r="Q1356" t="str">
        <f>VLOOKUP(E1356,Sales_Reps!$A:$E,3,FALSE)</f>
        <v>West</v>
      </c>
      <c r="R1356" t="str">
        <f>VLOOKUP(E1356,Sales_Reps!$A:$E,2,FALSE)</f>
        <v>Ramesh Bhatt</v>
      </c>
      <c r="S1356">
        <f t="shared" si="21"/>
        <v>0.47004405286343615</v>
      </c>
    </row>
    <row r="1357" spans="1:19" x14ac:dyDescent="0.3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  <c r="L1357" t="str">
        <f>VLOOKUP(D1357,Products!$A:$F,3,FALSE)</f>
        <v>Apparel</v>
      </c>
      <c r="M1357" t="b">
        <f>VLOOKUP(D1357,Products!$A:$F,6,FALSE)</f>
        <v>0</v>
      </c>
      <c r="N1357">
        <f>VLOOKUP(D1357,Products!$A:$F,4,FALSE)</f>
        <v>1075</v>
      </c>
      <c r="O1357" t="str">
        <f>VLOOKUP(C1357,Customers!$A:$F,5,FALSE)</f>
        <v>SMB</v>
      </c>
      <c r="P1357">
        <f>VLOOKUP(C1357,Customers!$A:$F,3,FALSE)</f>
        <v>53</v>
      </c>
      <c r="Q1357" t="str">
        <f>VLOOKUP(E1357,Sales_Reps!$A:$E,3,FALSE)</f>
        <v>North</v>
      </c>
      <c r="R1357" t="str">
        <f>VLOOKUP(E1357,Sales_Reps!$A:$E,2,FALSE)</f>
        <v>Kavita Patel</v>
      </c>
      <c r="S1357">
        <f t="shared" si="21"/>
        <v>0.57171314741035861</v>
      </c>
    </row>
    <row r="1358" spans="1:19" x14ac:dyDescent="0.3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  <c r="L1358" t="str">
        <f>VLOOKUP(D1358,Products!$A:$F,3,FALSE)</f>
        <v>Grocery</v>
      </c>
      <c r="M1358" t="b">
        <f>VLOOKUP(D1358,Products!$A:$F,6,FALSE)</f>
        <v>1</v>
      </c>
      <c r="N1358">
        <f>VLOOKUP(D1358,Products!$A:$F,4,FALSE)</f>
        <v>1182</v>
      </c>
      <c r="O1358" t="str">
        <f>VLOOKUP(C1358,Customers!$A:$F,5,FALSE)</f>
        <v>Retail</v>
      </c>
      <c r="P1358">
        <f>VLOOKUP(C1358,Customers!$A:$F,3,FALSE)</f>
        <v>46</v>
      </c>
      <c r="Q1358" t="str">
        <f>VLOOKUP(E1358,Sales_Reps!$A:$E,3,FALSE)</f>
        <v>South</v>
      </c>
      <c r="R1358" t="str">
        <f>VLOOKUP(E1358,Sales_Reps!$A:$E,2,FALSE)</f>
        <v>Pooja Nair</v>
      </c>
      <c r="S1358">
        <f t="shared" si="21"/>
        <v>0.50336134453781511</v>
      </c>
    </row>
    <row r="1359" spans="1:19" x14ac:dyDescent="0.3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  <c r="L1359" t="str">
        <f>VLOOKUP(D1359,Products!$A:$F,3,FALSE)</f>
        <v>Sports</v>
      </c>
      <c r="M1359" t="b">
        <f>VLOOKUP(D1359,Products!$A:$F,6,FALSE)</f>
        <v>1</v>
      </c>
      <c r="N1359">
        <f>VLOOKUP(D1359,Products!$A:$F,4,FALSE)</f>
        <v>1860</v>
      </c>
      <c r="O1359" t="str">
        <f>VLOOKUP(C1359,Customers!$A:$F,5,FALSE)</f>
        <v>Retail</v>
      </c>
      <c r="P1359">
        <f>VLOOKUP(C1359,Customers!$A:$F,3,FALSE)</f>
        <v>37</v>
      </c>
      <c r="Q1359" t="str">
        <f>VLOOKUP(E1359,Sales_Reps!$A:$E,3,FALSE)</f>
        <v>East</v>
      </c>
      <c r="R1359" t="str">
        <f>VLOOKUP(E1359,Sales_Reps!$A:$E,2,FALSE)</f>
        <v>Prakash Shah</v>
      </c>
      <c r="S1359">
        <f t="shared" si="21"/>
        <v>0.50793650793650791</v>
      </c>
    </row>
    <row r="1360" spans="1:19" x14ac:dyDescent="0.3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  <c r="L1360" t="str">
        <f>VLOOKUP(D1360,Products!$A:$F,3,FALSE)</f>
        <v>Apparel</v>
      </c>
      <c r="M1360" t="b">
        <f>VLOOKUP(D1360,Products!$A:$F,6,FALSE)</f>
        <v>1</v>
      </c>
      <c r="N1360">
        <f>VLOOKUP(D1360,Products!$A:$F,4,FALSE)</f>
        <v>1748</v>
      </c>
      <c r="O1360" t="str">
        <f>VLOOKUP(C1360,Customers!$A:$F,5,FALSE)</f>
        <v>Retail</v>
      </c>
      <c r="P1360">
        <f>VLOOKUP(C1360,Customers!$A:$F,3,FALSE)</f>
        <v>35</v>
      </c>
      <c r="Q1360" t="str">
        <f>VLOOKUP(E1360,Sales_Reps!$A:$E,3,FALSE)</f>
        <v>West</v>
      </c>
      <c r="R1360" t="str">
        <f>VLOOKUP(E1360,Sales_Reps!$A:$E,2,FALSE)</f>
        <v>Sonia Malhotra</v>
      </c>
      <c r="S1360">
        <f t="shared" si="21"/>
        <v>0.49333333333333335</v>
      </c>
    </row>
    <row r="1361" spans="1:19" x14ac:dyDescent="0.3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  <c r="L1361" t="str">
        <f>VLOOKUP(D1361,Products!$A:$F,3,FALSE)</f>
        <v>Beauty</v>
      </c>
      <c r="M1361" t="b">
        <f>VLOOKUP(D1361,Products!$A:$F,6,FALSE)</f>
        <v>1</v>
      </c>
      <c r="N1361">
        <f>VLOOKUP(D1361,Products!$A:$F,4,FALSE)</f>
        <v>2768</v>
      </c>
      <c r="O1361" t="str">
        <f>VLOOKUP(C1361,Customers!$A:$F,5,FALSE)</f>
        <v>Retail</v>
      </c>
      <c r="P1361">
        <f>VLOOKUP(C1361,Customers!$A:$F,3,FALSE)</f>
        <v>44</v>
      </c>
      <c r="Q1361" t="str">
        <f>VLOOKUP(E1361,Sales_Reps!$A:$E,3,FALSE)</f>
        <v>North</v>
      </c>
      <c r="R1361" t="str">
        <f>VLOOKUP(E1361,Sales_Reps!$A:$E,2,FALSE)</f>
        <v>Neha Desai</v>
      </c>
      <c r="S1361">
        <f t="shared" si="21"/>
        <v>0.43278688524590164</v>
      </c>
    </row>
    <row r="1362" spans="1:19" x14ac:dyDescent="0.3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  <c r="L1362" t="str">
        <f>VLOOKUP(D1362,Products!$A:$F,3,FALSE)</f>
        <v>Beauty</v>
      </c>
      <c r="M1362" t="b">
        <f>VLOOKUP(D1362,Products!$A:$F,6,FALSE)</f>
        <v>1</v>
      </c>
      <c r="N1362">
        <f>VLOOKUP(D1362,Products!$A:$F,4,FALSE)</f>
        <v>675</v>
      </c>
      <c r="O1362" t="str">
        <f>VLOOKUP(C1362,Customers!$A:$F,5,FALSE)</f>
        <v>SMB</v>
      </c>
      <c r="P1362">
        <f>VLOOKUP(C1362,Customers!$A:$F,3,FALSE)</f>
        <v>40</v>
      </c>
      <c r="Q1362" t="str">
        <f>VLOOKUP(E1362,Sales_Reps!$A:$E,3,FALSE)</f>
        <v>South</v>
      </c>
      <c r="R1362" t="str">
        <f>VLOOKUP(E1362,Sales_Reps!$A:$E,2,FALSE)</f>
        <v>Anjali Chopra</v>
      </c>
      <c r="S1362">
        <f t="shared" si="21"/>
        <v>0.296875</v>
      </c>
    </row>
    <row r="1363" spans="1:19" x14ac:dyDescent="0.3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  <c r="L1363" t="str">
        <f>VLOOKUP(D1363,Products!$A:$F,3,FALSE)</f>
        <v>Apparel</v>
      </c>
      <c r="M1363" t="b">
        <f>VLOOKUP(D1363,Products!$A:$F,6,FALSE)</f>
        <v>1</v>
      </c>
      <c r="N1363">
        <f>VLOOKUP(D1363,Products!$A:$F,4,FALSE)</f>
        <v>2629</v>
      </c>
      <c r="O1363" t="str">
        <f>VLOOKUP(C1363,Customers!$A:$F,5,FALSE)</f>
        <v>Retail</v>
      </c>
      <c r="P1363">
        <f>VLOOKUP(C1363,Customers!$A:$F,3,FALSE)</f>
        <v>22</v>
      </c>
      <c r="Q1363" t="str">
        <f>VLOOKUP(E1363,Sales_Reps!$A:$E,3,FALSE)</f>
        <v>East</v>
      </c>
      <c r="R1363" t="str">
        <f>VLOOKUP(E1363,Sales_Reps!$A:$E,2,FALSE)</f>
        <v>Vinod Kumar</v>
      </c>
      <c r="S1363">
        <f t="shared" si="21"/>
        <v>0.26151685393258428</v>
      </c>
    </row>
    <row r="1364" spans="1:19" x14ac:dyDescent="0.3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  <c r="L1364" t="str">
        <f>VLOOKUP(D1364,Products!$A:$F,3,FALSE)</f>
        <v>Grocery</v>
      </c>
      <c r="M1364" t="b">
        <f>VLOOKUP(D1364,Products!$A:$F,6,FALSE)</f>
        <v>1</v>
      </c>
      <c r="N1364">
        <f>VLOOKUP(D1364,Products!$A:$F,4,FALSE)</f>
        <v>2911</v>
      </c>
      <c r="O1364" t="str">
        <f>VLOOKUP(C1364,Customers!$A:$F,5,FALSE)</f>
        <v>Retail</v>
      </c>
      <c r="P1364">
        <f>VLOOKUP(C1364,Customers!$A:$F,3,FALSE)</f>
        <v>26</v>
      </c>
      <c r="Q1364" t="str">
        <f>VLOOKUP(E1364,Sales_Reps!$A:$E,3,FALSE)</f>
        <v>North</v>
      </c>
      <c r="R1364" t="str">
        <f>VLOOKUP(E1364,Sales_Reps!$A:$E,2,FALSE)</f>
        <v>Vikram Patel</v>
      </c>
      <c r="S1364">
        <f t="shared" si="21"/>
        <v>0.28300492610837441</v>
      </c>
    </row>
    <row r="1365" spans="1:19" x14ac:dyDescent="0.3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  <c r="L1365" t="str">
        <f>VLOOKUP(D1365,Products!$A:$F,3,FALSE)</f>
        <v>Apparel</v>
      </c>
      <c r="M1365" t="b">
        <f>VLOOKUP(D1365,Products!$A:$F,6,FALSE)</f>
        <v>1</v>
      </c>
      <c r="N1365">
        <f>VLOOKUP(D1365,Products!$A:$F,4,FALSE)</f>
        <v>1962</v>
      </c>
      <c r="O1365" t="str">
        <f>VLOOKUP(C1365,Customers!$A:$F,5,FALSE)</f>
        <v>Corporate</v>
      </c>
      <c r="P1365">
        <f>VLOOKUP(C1365,Customers!$A:$F,3,FALSE)</f>
        <v>46</v>
      </c>
      <c r="Q1365" t="str">
        <f>VLOOKUP(E1365,Sales_Reps!$A:$E,3,FALSE)</f>
        <v>East</v>
      </c>
      <c r="R1365" t="str">
        <f>VLOOKUP(E1365,Sales_Reps!$A:$E,2,FALSE)</f>
        <v>Meera Iyer</v>
      </c>
      <c r="S1365">
        <f t="shared" si="21"/>
        <v>0.2786764705882353</v>
      </c>
    </row>
    <row r="1366" spans="1:19" x14ac:dyDescent="0.3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  <c r="L1366" t="str">
        <f>VLOOKUP(D1366,Products!$A:$F,3,FALSE)</f>
        <v>Grocery</v>
      </c>
      <c r="M1366" t="b">
        <f>VLOOKUP(D1366,Products!$A:$F,6,FALSE)</f>
        <v>1</v>
      </c>
      <c r="N1366">
        <f>VLOOKUP(D1366,Products!$A:$F,4,FALSE)</f>
        <v>1010</v>
      </c>
      <c r="O1366" t="str">
        <f>VLOOKUP(C1366,Customers!$A:$F,5,FALSE)</f>
        <v>SMB</v>
      </c>
      <c r="P1366">
        <f>VLOOKUP(C1366,Customers!$A:$F,3,FALSE)</f>
        <v>43</v>
      </c>
      <c r="Q1366" t="str">
        <f>VLOOKUP(E1366,Sales_Reps!$A:$E,3,FALSE)</f>
        <v>East</v>
      </c>
      <c r="R1366" t="str">
        <f>VLOOKUP(E1366,Sales_Reps!$A:$E,2,FALSE)</f>
        <v>Nisha Menon</v>
      </c>
      <c r="S1366">
        <f t="shared" si="21"/>
        <v>0.54298642533936647</v>
      </c>
    </row>
    <row r="1367" spans="1:19" x14ac:dyDescent="0.3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  <c r="L1367" t="str">
        <f>VLOOKUP(D1367,Products!$A:$F,3,FALSE)</f>
        <v>Beauty</v>
      </c>
      <c r="M1367" t="b">
        <f>VLOOKUP(D1367,Products!$A:$F,6,FALSE)</f>
        <v>1</v>
      </c>
      <c r="N1367">
        <f>VLOOKUP(D1367,Products!$A:$F,4,FALSE)</f>
        <v>2420</v>
      </c>
      <c r="O1367" t="str">
        <f>VLOOKUP(C1367,Customers!$A:$F,5,FALSE)</f>
        <v>Retail</v>
      </c>
      <c r="P1367">
        <f>VLOOKUP(C1367,Customers!$A:$F,3,FALSE)</f>
        <v>54</v>
      </c>
      <c r="Q1367" t="str">
        <f>VLOOKUP(E1367,Sales_Reps!$A:$E,3,FALSE)</f>
        <v>South</v>
      </c>
      <c r="R1367" t="str">
        <f>VLOOKUP(E1367,Sales_Reps!$A:$E,2,FALSE)</f>
        <v>Sanjay Kapoor</v>
      </c>
      <c r="S1367">
        <f t="shared" si="21"/>
        <v>0.29855072463768118</v>
      </c>
    </row>
    <row r="1368" spans="1:19" x14ac:dyDescent="0.3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  <c r="L1368" t="str">
        <f>VLOOKUP(D1368,Products!$A:$F,3,FALSE)</f>
        <v>Grocery</v>
      </c>
      <c r="M1368" t="b">
        <f>VLOOKUP(D1368,Products!$A:$F,6,FALSE)</f>
        <v>1</v>
      </c>
      <c r="N1368">
        <f>VLOOKUP(D1368,Products!$A:$F,4,FALSE)</f>
        <v>1182</v>
      </c>
      <c r="O1368" t="str">
        <f>VLOOKUP(C1368,Customers!$A:$F,5,FALSE)</f>
        <v>SMB</v>
      </c>
      <c r="P1368">
        <f>VLOOKUP(C1368,Customers!$A:$F,3,FALSE)</f>
        <v>36</v>
      </c>
      <c r="Q1368" t="str">
        <f>VLOOKUP(E1368,Sales_Reps!$A:$E,3,FALSE)</f>
        <v>East</v>
      </c>
      <c r="R1368" t="str">
        <f>VLOOKUP(E1368,Sales_Reps!$A:$E,2,FALSE)</f>
        <v>Vinod Kumar</v>
      </c>
      <c r="S1368">
        <f t="shared" si="21"/>
        <v>0.50336134453781511</v>
      </c>
    </row>
    <row r="1369" spans="1:19" x14ac:dyDescent="0.3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  <c r="L1369" t="str">
        <f>VLOOKUP(D1369,Products!$A:$F,3,FALSE)</f>
        <v>Grocery</v>
      </c>
      <c r="M1369" t="b">
        <f>VLOOKUP(D1369,Products!$A:$F,6,FALSE)</f>
        <v>1</v>
      </c>
      <c r="N1369">
        <f>VLOOKUP(D1369,Products!$A:$F,4,FALSE)</f>
        <v>1182</v>
      </c>
      <c r="O1369" t="str">
        <f>VLOOKUP(C1369,Customers!$A:$F,5,FALSE)</f>
        <v>SMB</v>
      </c>
      <c r="P1369">
        <f>VLOOKUP(C1369,Customers!$A:$F,3,FALSE)</f>
        <v>53</v>
      </c>
      <c r="Q1369" t="str">
        <f>VLOOKUP(E1369,Sales_Reps!$A:$E,3,FALSE)</f>
        <v>North</v>
      </c>
      <c r="R1369" t="str">
        <f>VLOOKUP(E1369,Sales_Reps!$A:$E,2,FALSE)</f>
        <v>Sunita Malhotra</v>
      </c>
      <c r="S1369">
        <f t="shared" si="21"/>
        <v>0.50336134453781511</v>
      </c>
    </row>
    <row r="1370" spans="1:19" x14ac:dyDescent="0.3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  <c r="L1370" t="str">
        <f>VLOOKUP(D1370,Products!$A:$F,3,FALSE)</f>
        <v>Apparel</v>
      </c>
      <c r="M1370" t="b">
        <f>VLOOKUP(D1370,Products!$A:$F,6,FALSE)</f>
        <v>1</v>
      </c>
      <c r="N1370">
        <f>VLOOKUP(D1370,Products!$A:$F,4,FALSE)</f>
        <v>2629</v>
      </c>
      <c r="O1370" t="str">
        <f>VLOOKUP(C1370,Customers!$A:$F,5,FALSE)</f>
        <v>Corporate</v>
      </c>
      <c r="P1370">
        <f>VLOOKUP(C1370,Customers!$A:$F,3,FALSE)</f>
        <v>46</v>
      </c>
      <c r="Q1370" t="str">
        <f>VLOOKUP(E1370,Sales_Reps!$A:$E,3,FALSE)</f>
        <v>South</v>
      </c>
      <c r="R1370" t="str">
        <f>VLOOKUP(E1370,Sales_Reps!$A:$E,2,FALSE)</f>
        <v>Pooja Nair</v>
      </c>
      <c r="S1370">
        <f t="shared" si="21"/>
        <v>0.26151685393258428</v>
      </c>
    </row>
    <row r="1371" spans="1:19" x14ac:dyDescent="0.3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  <c r="L1371" t="str">
        <f>VLOOKUP(D1371,Products!$A:$F,3,FALSE)</f>
        <v>Electronics</v>
      </c>
      <c r="M1371" t="b">
        <f>VLOOKUP(D1371,Products!$A:$F,6,FALSE)</f>
        <v>1</v>
      </c>
      <c r="N1371">
        <f>VLOOKUP(D1371,Products!$A:$F,4,FALSE)</f>
        <v>517</v>
      </c>
      <c r="O1371" t="str">
        <f>VLOOKUP(C1371,Customers!$A:$F,5,FALSE)</f>
        <v>Corporate</v>
      </c>
      <c r="P1371">
        <f>VLOOKUP(C1371,Customers!$A:$F,3,FALSE)</f>
        <v>35</v>
      </c>
      <c r="Q1371" t="str">
        <f>VLOOKUP(E1371,Sales_Reps!$A:$E,3,FALSE)</f>
        <v>East</v>
      </c>
      <c r="R1371" t="str">
        <f>VLOOKUP(E1371,Sales_Reps!$A:$E,2,FALSE)</f>
        <v>Shalini Patel</v>
      </c>
      <c r="S1371">
        <f t="shared" si="21"/>
        <v>0.57622950819672136</v>
      </c>
    </row>
    <row r="1372" spans="1:19" x14ac:dyDescent="0.3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  <c r="L1372" t="str">
        <f>VLOOKUP(D1372,Products!$A:$F,3,FALSE)</f>
        <v>Sports</v>
      </c>
      <c r="M1372" t="b">
        <f>VLOOKUP(D1372,Products!$A:$F,6,FALSE)</f>
        <v>1</v>
      </c>
      <c r="N1372">
        <f>VLOOKUP(D1372,Products!$A:$F,4,FALSE)</f>
        <v>2827</v>
      </c>
      <c r="O1372" t="str">
        <f>VLOOKUP(C1372,Customers!$A:$F,5,FALSE)</f>
        <v>Retail</v>
      </c>
      <c r="P1372">
        <f>VLOOKUP(C1372,Customers!$A:$F,3,FALSE)</f>
        <v>37</v>
      </c>
      <c r="Q1372" t="str">
        <f>VLOOKUP(E1372,Sales_Reps!$A:$E,3,FALSE)</f>
        <v>East</v>
      </c>
      <c r="R1372" t="str">
        <f>VLOOKUP(E1372,Sales_Reps!$A:$E,2,FALSE)</f>
        <v>Naveen Singh</v>
      </c>
      <c r="S1372">
        <f t="shared" si="21"/>
        <v>0.5926512968299712</v>
      </c>
    </row>
    <row r="1373" spans="1:19" x14ac:dyDescent="0.3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  <c r="L1373" t="str">
        <f>VLOOKUP(D1373,Products!$A:$F,3,FALSE)</f>
        <v>Home</v>
      </c>
      <c r="M1373" t="b">
        <f>VLOOKUP(D1373,Products!$A:$F,6,FALSE)</f>
        <v>1</v>
      </c>
      <c r="N1373">
        <f>VLOOKUP(D1373,Products!$A:$F,4,FALSE)</f>
        <v>464</v>
      </c>
      <c r="O1373" t="str">
        <f>VLOOKUP(C1373,Customers!$A:$F,5,FALSE)</f>
        <v>SMB</v>
      </c>
      <c r="P1373">
        <f>VLOOKUP(C1373,Customers!$A:$F,3,FALSE)</f>
        <v>43</v>
      </c>
      <c r="Q1373" t="str">
        <f>VLOOKUP(E1373,Sales_Reps!$A:$E,3,FALSE)</f>
        <v>East</v>
      </c>
      <c r="R1373" t="str">
        <f>VLOOKUP(E1373,Sales_Reps!$A:$E,2,FALSE)</f>
        <v>Nisha Menon</v>
      </c>
      <c r="S1373">
        <f t="shared" si="21"/>
        <v>0.57431192660550456</v>
      </c>
    </row>
    <row r="1374" spans="1:19" x14ac:dyDescent="0.3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  <c r="L1374" t="str">
        <f>VLOOKUP(D1374,Products!$A:$F,3,FALSE)</f>
        <v>Grocery</v>
      </c>
      <c r="M1374" t="b">
        <f>VLOOKUP(D1374,Products!$A:$F,6,FALSE)</f>
        <v>1</v>
      </c>
      <c r="N1374">
        <f>VLOOKUP(D1374,Products!$A:$F,4,FALSE)</f>
        <v>1182</v>
      </c>
      <c r="O1374" t="str">
        <f>VLOOKUP(C1374,Customers!$A:$F,5,FALSE)</f>
        <v>Retail</v>
      </c>
      <c r="P1374">
        <f>VLOOKUP(C1374,Customers!$A:$F,3,FALSE)</f>
        <v>31</v>
      </c>
      <c r="Q1374" t="str">
        <f>VLOOKUP(E1374,Sales_Reps!$A:$E,3,FALSE)</f>
        <v>West</v>
      </c>
      <c r="R1374" t="str">
        <f>VLOOKUP(E1374,Sales_Reps!$A:$E,2,FALSE)</f>
        <v>Preeti Shah</v>
      </c>
      <c r="S1374">
        <f t="shared" si="21"/>
        <v>0.50336134453781511</v>
      </c>
    </row>
    <row r="1375" spans="1:19" x14ac:dyDescent="0.3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  <c r="L1375" t="str">
        <f>VLOOKUP(D1375,Products!$A:$F,3,FALSE)</f>
        <v>Grocery</v>
      </c>
      <c r="M1375" t="b">
        <f>VLOOKUP(D1375,Products!$A:$F,6,FALSE)</f>
        <v>1</v>
      </c>
      <c r="N1375">
        <f>VLOOKUP(D1375,Products!$A:$F,4,FALSE)</f>
        <v>1203</v>
      </c>
      <c r="O1375" t="str">
        <f>VLOOKUP(C1375,Customers!$A:$F,5,FALSE)</f>
        <v>SMB</v>
      </c>
      <c r="P1375">
        <f>VLOOKUP(C1375,Customers!$A:$F,3,FALSE)</f>
        <v>43</v>
      </c>
      <c r="Q1375" t="str">
        <f>VLOOKUP(E1375,Sales_Reps!$A:$E,3,FALSE)</f>
        <v>North</v>
      </c>
      <c r="R1375" t="str">
        <f>VLOOKUP(E1375,Sales_Reps!$A:$E,2,FALSE)</f>
        <v>Priya Singh</v>
      </c>
      <c r="S1375">
        <f t="shared" si="21"/>
        <v>0.47004405286343615</v>
      </c>
    </row>
    <row r="1376" spans="1:19" x14ac:dyDescent="0.3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  <c r="L1376" t="str">
        <f>VLOOKUP(D1376,Products!$A:$F,3,FALSE)</f>
        <v>Home</v>
      </c>
      <c r="M1376" t="b">
        <f>VLOOKUP(D1376,Products!$A:$F,6,FALSE)</f>
        <v>1</v>
      </c>
      <c r="N1376">
        <f>VLOOKUP(D1376,Products!$A:$F,4,FALSE)</f>
        <v>1143</v>
      </c>
      <c r="O1376" t="str">
        <f>VLOOKUP(C1376,Customers!$A:$F,5,FALSE)</f>
        <v>Retail</v>
      </c>
      <c r="P1376">
        <f>VLOOKUP(C1376,Customers!$A:$F,3,FALSE)</f>
        <v>36</v>
      </c>
      <c r="Q1376" t="str">
        <f>VLOOKUP(E1376,Sales_Reps!$A:$E,3,FALSE)</f>
        <v>East</v>
      </c>
      <c r="R1376" t="str">
        <f>VLOOKUP(E1376,Sales_Reps!$A:$E,2,FALSE)</f>
        <v>Prakash Shah</v>
      </c>
      <c r="S1376">
        <f t="shared" si="21"/>
        <v>0.43694581280788175</v>
      </c>
    </row>
    <row r="1377" spans="1:19" x14ac:dyDescent="0.3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  <c r="L1377" t="str">
        <f>VLOOKUP(D1377,Products!$A:$F,3,FALSE)</f>
        <v>Home</v>
      </c>
      <c r="M1377" t="b">
        <f>VLOOKUP(D1377,Products!$A:$F,6,FALSE)</f>
        <v>1</v>
      </c>
      <c r="N1377">
        <f>VLOOKUP(D1377,Products!$A:$F,4,FALSE)</f>
        <v>464</v>
      </c>
      <c r="O1377" t="str">
        <f>VLOOKUP(C1377,Customers!$A:$F,5,FALSE)</f>
        <v>SMB</v>
      </c>
      <c r="P1377">
        <f>VLOOKUP(C1377,Customers!$A:$F,3,FALSE)</f>
        <v>54</v>
      </c>
      <c r="Q1377" t="str">
        <f>VLOOKUP(E1377,Sales_Reps!$A:$E,3,FALSE)</f>
        <v>West</v>
      </c>
      <c r="R1377" t="str">
        <f>VLOOKUP(E1377,Sales_Reps!$A:$E,2,FALSE)</f>
        <v>Ramesh Bhatt</v>
      </c>
      <c r="S1377">
        <f t="shared" si="21"/>
        <v>0.57431192660550456</v>
      </c>
    </row>
    <row r="1378" spans="1:19" x14ac:dyDescent="0.3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  <c r="L1378" t="str">
        <f>VLOOKUP(D1378,Products!$A:$F,3,FALSE)</f>
        <v>Apparel</v>
      </c>
      <c r="M1378" t="b">
        <f>VLOOKUP(D1378,Products!$A:$F,6,FALSE)</f>
        <v>0</v>
      </c>
      <c r="N1378">
        <f>VLOOKUP(D1378,Products!$A:$F,4,FALSE)</f>
        <v>1075</v>
      </c>
      <c r="O1378" t="str">
        <f>VLOOKUP(C1378,Customers!$A:$F,5,FALSE)</f>
        <v>SMB</v>
      </c>
      <c r="P1378">
        <f>VLOOKUP(C1378,Customers!$A:$F,3,FALSE)</f>
        <v>43</v>
      </c>
      <c r="Q1378" t="str">
        <f>VLOOKUP(E1378,Sales_Reps!$A:$E,3,FALSE)</f>
        <v>East</v>
      </c>
      <c r="R1378" t="str">
        <f>VLOOKUP(E1378,Sales_Reps!$A:$E,2,FALSE)</f>
        <v>Naveen Singh</v>
      </c>
      <c r="S1378">
        <f t="shared" si="21"/>
        <v>0.57171314741035861</v>
      </c>
    </row>
    <row r="1379" spans="1:19" x14ac:dyDescent="0.3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  <c r="L1379" t="str">
        <f>VLOOKUP(D1379,Products!$A:$F,3,FALSE)</f>
        <v>Grocery</v>
      </c>
      <c r="M1379" t="b">
        <f>VLOOKUP(D1379,Products!$A:$F,6,FALSE)</f>
        <v>1</v>
      </c>
      <c r="N1379">
        <f>VLOOKUP(D1379,Products!$A:$F,4,FALSE)</f>
        <v>1203</v>
      </c>
      <c r="O1379" t="str">
        <f>VLOOKUP(C1379,Customers!$A:$F,5,FALSE)</f>
        <v>Retail</v>
      </c>
      <c r="P1379">
        <f>VLOOKUP(C1379,Customers!$A:$F,3,FALSE)</f>
        <v>53</v>
      </c>
      <c r="Q1379" t="str">
        <f>VLOOKUP(E1379,Sales_Reps!$A:$E,3,FALSE)</f>
        <v>West</v>
      </c>
      <c r="R1379" t="str">
        <f>VLOOKUP(E1379,Sales_Reps!$A:$E,2,FALSE)</f>
        <v>Sonia Malhotra</v>
      </c>
      <c r="S1379">
        <f t="shared" si="21"/>
        <v>0.47004405286343615</v>
      </c>
    </row>
    <row r="1380" spans="1:19" x14ac:dyDescent="0.3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  <c r="L1380" t="str">
        <f>VLOOKUP(D1380,Products!$A:$F,3,FALSE)</f>
        <v>Electronics</v>
      </c>
      <c r="M1380" t="b">
        <f>VLOOKUP(D1380,Products!$A:$F,6,FALSE)</f>
        <v>1</v>
      </c>
      <c r="N1380">
        <f>VLOOKUP(D1380,Products!$A:$F,4,FALSE)</f>
        <v>2865</v>
      </c>
      <c r="O1380" t="str">
        <f>VLOOKUP(C1380,Customers!$A:$F,5,FALSE)</f>
        <v>Corporate</v>
      </c>
      <c r="P1380">
        <f>VLOOKUP(C1380,Customers!$A:$F,3,FALSE)</f>
        <v>46</v>
      </c>
      <c r="Q1380" t="str">
        <f>VLOOKUP(E1380,Sales_Reps!$A:$E,3,FALSE)</f>
        <v>West</v>
      </c>
      <c r="R1380" t="str">
        <f>VLOOKUP(E1380,Sales_Reps!$A:$E,2,FALSE)</f>
        <v>Arun Iyer</v>
      </c>
      <c r="S1380">
        <f t="shared" si="21"/>
        <v>0.27833753148614609</v>
      </c>
    </row>
    <row r="1381" spans="1:19" x14ac:dyDescent="0.3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  <c r="L1381" t="str">
        <f>VLOOKUP(D1381,Products!$A:$F,3,FALSE)</f>
        <v>Grocery</v>
      </c>
      <c r="M1381" t="b">
        <f>VLOOKUP(D1381,Products!$A:$F,6,FALSE)</f>
        <v>1</v>
      </c>
      <c r="N1381">
        <f>VLOOKUP(D1381,Products!$A:$F,4,FALSE)</f>
        <v>1010</v>
      </c>
      <c r="O1381" t="str">
        <f>VLOOKUP(C1381,Customers!$A:$F,5,FALSE)</f>
        <v>SMB</v>
      </c>
      <c r="P1381">
        <f>VLOOKUP(C1381,Customers!$A:$F,3,FALSE)</f>
        <v>65</v>
      </c>
      <c r="Q1381" t="str">
        <f>VLOOKUP(E1381,Sales_Reps!$A:$E,3,FALSE)</f>
        <v>South</v>
      </c>
      <c r="R1381" t="str">
        <f>VLOOKUP(E1381,Sales_Reps!$A:$E,2,FALSE)</f>
        <v>Ritu Menon</v>
      </c>
      <c r="S1381">
        <f t="shared" si="21"/>
        <v>0.54298642533936647</v>
      </c>
    </row>
    <row r="1382" spans="1:19" x14ac:dyDescent="0.3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  <c r="L1382" t="str">
        <f>VLOOKUP(D1382,Products!$A:$F,3,FALSE)</f>
        <v>Beauty</v>
      </c>
      <c r="M1382" t="b">
        <f>VLOOKUP(D1382,Products!$A:$F,6,FALSE)</f>
        <v>0</v>
      </c>
      <c r="N1382">
        <f>VLOOKUP(D1382,Products!$A:$F,4,FALSE)</f>
        <v>647</v>
      </c>
      <c r="O1382" t="str">
        <f>VLOOKUP(C1382,Customers!$A:$F,5,FALSE)</f>
        <v>Retail</v>
      </c>
      <c r="P1382">
        <f>VLOOKUP(C1382,Customers!$A:$F,3,FALSE)</f>
        <v>44</v>
      </c>
      <c r="Q1382" t="str">
        <f>VLOOKUP(E1382,Sales_Reps!$A:$E,3,FALSE)</f>
        <v>East</v>
      </c>
      <c r="R1382" t="str">
        <f>VLOOKUP(E1382,Sales_Reps!$A:$E,2,FALSE)</f>
        <v>Naveen Singh</v>
      </c>
      <c r="S1382">
        <f t="shared" si="21"/>
        <v>0.57987012987012987</v>
      </c>
    </row>
    <row r="1383" spans="1:19" x14ac:dyDescent="0.3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  <c r="L1383" t="str">
        <f>VLOOKUP(D1383,Products!$A:$F,3,FALSE)</f>
        <v>Home</v>
      </c>
      <c r="M1383" t="b">
        <f>VLOOKUP(D1383,Products!$A:$F,6,FALSE)</f>
        <v>1</v>
      </c>
      <c r="N1383">
        <f>VLOOKUP(D1383,Products!$A:$F,4,FALSE)</f>
        <v>1850</v>
      </c>
      <c r="O1383" t="str">
        <f>VLOOKUP(C1383,Customers!$A:$F,5,FALSE)</f>
        <v>Retail</v>
      </c>
      <c r="P1383">
        <f>VLOOKUP(C1383,Customers!$A:$F,3,FALSE)</f>
        <v>63</v>
      </c>
      <c r="Q1383" t="str">
        <f>VLOOKUP(E1383,Sales_Reps!$A:$E,3,FALSE)</f>
        <v>West</v>
      </c>
      <c r="R1383" t="str">
        <f>VLOOKUP(E1383,Sales_Reps!$A:$E,2,FALSE)</f>
        <v>Ramesh Bhatt</v>
      </c>
      <c r="S1383">
        <f t="shared" si="21"/>
        <v>0.59869848156182215</v>
      </c>
    </row>
    <row r="1384" spans="1:19" x14ac:dyDescent="0.3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  <c r="L1384" t="str">
        <f>VLOOKUP(D1384,Products!$A:$F,3,FALSE)</f>
        <v>Electronics</v>
      </c>
      <c r="M1384" t="b">
        <f>VLOOKUP(D1384,Products!$A:$F,6,FALSE)</f>
        <v>1</v>
      </c>
      <c r="N1384">
        <f>VLOOKUP(D1384,Products!$A:$F,4,FALSE)</f>
        <v>2865</v>
      </c>
      <c r="O1384" t="str">
        <f>VLOOKUP(C1384,Customers!$A:$F,5,FALSE)</f>
        <v>Retail</v>
      </c>
      <c r="P1384">
        <f>VLOOKUP(C1384,Customers!$A:$F,3,FALSE)</f>
        <v>56</v>
      </c>
      <c r="Q1384" t="str">
        <f>VLOOKUP(E1384,Sales_Reps!$A:$E,3,FALSE)</f>
        <v>North</v>
      </c>
      <c r="R1384" t="str">
        <f>VLOOKUP(E1384,Sales_Reps!$A:$E,2,FALSE)</f>
        <v>Sunita Malhotra</v>
      </c>
      <c r="S1384">
        <f t="shared" si="21"/>
        <v>0.27833753148614609</v>
      </c>
    </row>
    <row r="1385" spans="1:19" x14ac:dyDescent="0.3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  <c r="L1385" t="str">
        <f>VLOOKUP(D1385,Products!$A:$F,3,FALSE)</f>
        <v>Electronics</v>
      </c>
      <c r="M1385" t="b">
        <f>VLOOKUP(D1385,Products!$A:$F,6,FALSE)</f>
        <v>0</v>
      </c>
      <c r="N1385">
        <f>VLOOKUP(D1385,Products!$A:$F,4,FALSE)</f>
        <v>1259</v>
      </c>
      <c r="O1385" t="str">
        <f>VLOOKUP(C1385,Customers!$A:$F,5,FALSE)</f>
        <v>Retail</v>
      </c>
      <c r="P1385">
        <f>VLOOKUP(C1385,Customers!$A:$F,3,FALSE)</f>
        <v>41</v>
      </c>
      <c r="Q1385" t="str">
        <f>VLOOKUP(E1385,Sales_Reps!$A:$E,3,FALSE)</f>
        <v>North</v>
      </c>
      <c r="R1385" t="str">
        <f>VLOOKUP(E1385,Sales_Reps!$A:$E,2,FALSE)</f>
        <v>Kavita Patel</v>
      </c>
      <c r="S1385">
        <f t="shared" si="21"/>
        <v>0.52669172932330832</v>
      </c>
    </row>
    <row r="1386" spans="1:19" x14ac:dyDescent="0.3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  <c r="L1386" t="str">
        <f>VLOOKUP(D1386,Products!$A:$F,3,FALSE)</f>
        <v>Beauty</v>
      </c>
      <c r="M1386" t="b">
        <f>VLOOKUP(D1386,Products!$A:$F,6,FALSE)</f>
        <v>1</v>
      </c>
      <c r="N1386">
        <f>VLOOKUP(D1386,Products!$A:$F,4,FALSE)</f>
        <v>2420</v>
      </c>
      <c r="O1386" t="str">
        <f>VLOOKUP(C1386,Customers!$A:$F,5,FALSE)</f>
        <v>Corporate</v>
      </c>
      <c r="P1386">
        <f>VLOOKUP(C1386,Customers!$A:$F,3,FALSE)</f>
        <v>54</v>
      </c>
      <c r="Q1386" t="str">
        <f>VLOOKUP(E1386,Sales_Reps!$A:$E,3,FALSE)</f>
        <v>East</v>
      </c>
      <c r="R1386" t="str">
        <f>VLOOKUP(E1386,Sales_Reps!$A:$E,2,FALSE)</f>
        <v>Gaurav Desai</v>
      </c>
      <c r="S1386">
        <f t="shared" si="21"/>
        <v>0.29855072463768118</v>
      </c>
    </row>
    <row r="1387" spans="1:19" x14ac:dyDescent="0.3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  <c r="L1387" t="str">
        <f>VLOOKUP(D1387,Products!$A:$F,3,FALSE)</f>
        <v>Sports</v>
      </c>
      <c r="M1387" t="b">
        <f>VLOOKUP(D1387,Products!$A:$F,6,FALSE)</f>
        <v>0</v>
      </c>
      <c r="N1387">
        <f>VLOOKUP(D1387,Products!$A:$F,4,FALSE)</f>
        <v>302</v>
      </c>
      <c r="O1387" t="str">
        <f>VLOOKUP(C1387,Customers!$A:$F,5,FALSE)</f>
        <v>SMB</v>
      </c>
      <c r="P1387">
        <f>VLOOKUP(C1387,Customers!$A:$F,3,FALSE)</f>
        <v>48</v>
      </c>
      <c r="Q1387" t="str">
        <f>VLOOKUP(E1387,Sales_Reps!$A:$E,3,FALSE)</f>
        <v>North</v>
      </c>
      <c r="R1387" t="str">
        <f>VLOOKUP(E1387,Sales_Reps!$A:$E,2,FALSE)</f>
        <v>Suresh Menon</v>
      </c>
      <c r="S1387">
        <f t="shared" si="21"/>
        <v>0.35744680851063831</v>
      </c>
    </row>
    <row r="1388" spans="1:19" x14ac:dyDescent="0.3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  <c r="L1388" t="str">
        <f>VLOOKUP(D1388,Products!$A:$F,3,FALSE)</f>
        <v>Sports</v>
      </c>
      <c r="M1388" t="b">
        <f>VLOOKUP(D1388,Products!$A:$F,6,FALSE)</f>
        <v>1</v>
      </c>
      <c r="N1388">
        <f>VLOOKUP(D1388,Products!$A:$F,4,FALSE)</f>
        <v>1860</v>
      </c>
      <c r="O1388" t="str">
        <f>VLOOKUP(C1388,Customers!$A:$F,5,FALSE)</f>
        <v>Retail</v>
      </c>
      <c r="P1388">
        <f>VLOOKUP(C1388,Customers!$A:$F,3,FALSE)</f>
        <v>22</v>
      </c>
      <c r="Q1388" t="str">
        <f>VLOOKUP(E1388,Sales_Reps!$A:$E,3,FALSE)</f>
        <v>East</v>
      </c>
      <c r="R1388" t="str">
        <f>VLOOKUP(E1388,Sales_Reps!$A:$E,2,FALSE)</f>
        <v>Nisha Menon</v>
      </c>
      <c r="S1388">
        <f t="shared" si="21"/>
        <v>0.50793650793650791</v>
      </c>
    </row>
    <row r="1389" spans="1:19" x14ac:dyDescent="0.3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  <c r="L1389" t="str">
        <f>VLOOKUP(D1389,Products!$A:$F,3,FALSE)</f>
        <v>Apparel</v>
      </c>
      <c r="M1389" t="b">
        <f>VLOOKUP(D1389,Products!$A:$F,6,FALSE)</f>
        <v>1</v>
      </c>
      <c r="N1389">
        <f>VLOOKUP(D1389,Products!$A:$F,4,FALSE)</f>
        <v>2509</v>
      </c>
      <c r="O1389" t="str">
        <f>VLOOKUP(C1389,Customers!$A:$F,5,FALSE)</f>
        <v>SMB</v>
      </c>
      <c r="P1389">
        <f>VLOOKUP(C1389,Customers!$A:$F,3,FALSE)</f>
        <v>36</v>
      </c>
      <c r="Q1389" t="str">
        <f>VLOOKUP(E1389,Sales_Reps!$A:$E,3,FALSE)</f>
        <v>West</v>
      </c>
      <c r="R1389" t="str">
        <f>VLOOKUP(E1389,Sales_Reps!$A:$E,2,FALSE)</f>
        <v>Ramesh Bhatt</v>
      </c>
      <c r="S1389">
        <f t="shared" si="21"/>
        <v>0.3069060773480663</v>
      </c>
    </row>
    <row r="1390" spans="1:19" x14ac:dyDescent="0.3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  <c r="L1390" t="str">
        <f>VLOOKUP(D1390,Products!$A:$F,3,FALSE)</f>
        <v>Beauty</v>
      </c>
      <c r="M1390" t="b">
        <f>VLOOKUP(D1390,Products!$A:$F,6,FALSE)</f>
        <v>1</v>
      </c>
      <c r="N1390">
        <f>VLOOKUP(D1390,Products!$A:$F,4,FALSE)</f>
        <v>675</v>
      </c>
      <c r="O1390" t="str">
        <f>VLOOKUP(C1390,Customers!$A:$F,5,FALSE)</f>
        <v>Retail</v>
      </c>
      <c r="P1390">
        <f>VLOOKUP(C1390,Customers!$A:$F,3,FALSE)</f>
        <v>53</v>
      </c>
      <c r="Q1390" t="str">
        <f>VLOOKUP(E1390,Sales_Reps!$A:$E,3,FALSE)</f>
        <v>West</v>
      </c>
      <c r="R1390" t="str">
        <f>VLOOKUP(E1390,Sales_Reps!$A:$E,2,FALSE)</f>
        <v>Preeti Shah</v>
      </c>
      <c r="S1390">
        <f t="shared" si="21"/>
        <v>0.296875</v>
      </c>
    </row>
    <row r="1391" spans="1:19" x14ac:dyDescent="0.3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  <c r="L1391" t="str">
        <f>VLOOKUP(D1391,Products!$A:$F,3,FALSE)</f>
        <v>Beauty</v>
      </c>
      <c r="M1391" t="b">
        <f>VLOOKUP(D1391,Products!$A:$F,6,FALSE)</f>
        <v>1</v>
      </c>
      <c r="N1391">
        <f>VLOOKUP(D1391,Products!$A:$F,4,FALSE)</f>
        <v>1728</v>
      </c>
      <c r="O1391" t="str">
        <f>VLOOKUP(C1391,Customers!$A:$F,5,FALSE)</f>
        <v>Retail</v>
      </c>
      <c r="P1391">
        <f>VLOOKUP(C1391,Customers!$A:$F,3,FALSE)</f>
        <v>28</v>
      </c>
      <c r="Q1391" t="str">
        <f>VLOOKUP(E1391,Sales_Reps!$A:$E,3,FALSE)</f>
        <v>North</v>
      </c>
      <c r="R1391" t="str">
        <f>VLOOKUP(E1391,Sales_Reps!$A:$E,2,FALSE)</f>
        <v>Suresh Menon</v>
      </c>
      <c r="S1391">
        <f t="shared" si="21"/>
        <v>0.48417910447761192</v>
      </c>
    </row>
    <row r="1392" spans="1:19" x14ac:dyDescent="0.3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  <c r="L1392" t="str">
        <f>VLOOKUP(D1392,Products!$A:$F,3,FALSE)</f>
        <v>Sports</v>
      </c>
      <c r="M1392" t="b">
        <f>VLOOKUP(D1392,Products!$A:$F,6,FALSE)</f>
        <v>1</v>
      </c>
      <c r="N1392">
        <f>VLOOKUP(D1392,Products!$A:$F,4,FALSE)</f>
        <v>974</v>
      </c>
      <c r="O1392" t="str">
        <f>VLOOKUP(C1392,Customers!$A:$F,5,FALSE)</f>
        <v>SMB</v>
      </c>
      <c r="P1392">
        <f>VLOOKUP(C1392,Customers!$A:$F,3,FALSE)</f>
        <v>28</v>
      </c>
      <c r="Q1392" t="str">
        <f>VLOOKUP(E1392,Sales_Reps!$A:$E,3,FALSE)</f>
        <v>West</v>
      </c>
      <c r="R1392" t="str">
        <f>VLOOKUP(E1392,Sales_Reps!$A:$E,2,FALSE)</f>
        <v>Kiran Bhatt</v>
      </c>
      <c r="S1392">
        <f t="shared" si="21"/>
        <v>0.59416666666666662</v>
      </c>
    </row>
    <row r="1393" spans="1:19" x14ac:dyDescent="0.3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  <c r="L1393" t="str">
        <f>VLOOKUP(D1393,Products!$A:$F,3,FALSE)</f>
        <v>Sports</v>
      </c>
      <c r="M1393" t="b">
        <f>VLOOKUP(D1393,Products!$A:$F,6,FALSE)</f>
        <v>1</v>
      </c>
      <c r="N1393">
        <f>VLOOKUP(D1393,Products!$A:$F,4,FALSE)</f>
        <v>2028</v>
      </c>
      <c r="O1393" t="str">
        <f>VLOOKUP(C1393,Customers!$A:$F,5,FALSE)</f>
        <v>Retail</v>
      </c>
      <c r="P1393">
        <f>VLOOKUP(C1393,Customers!$A:$F,3,FALSE)</f>
        <v>29</v>
      </c>
      <c r="Q1393" t="str">
        <f>VLOOKUP(E1393,Sales_Reps!$A:$E,3,FALSE)</f>
        <v>North</v>
      </c>
      <c r="R1393" t="str">
        <f>VLOOKUP(E1393,Sales_Reps!$A:$E,2,FALSE)</f>
        <v>Sunita Malhotra</v>
      </c>
      <c r="S1393">
        <f t="shared" si="21"/>
        <v>0.29090909090909089</v>
      </c>
    </row>
    <row r="1394" spans="1:19" x14ac:dyDescent="0.3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  <c r="L1394" t="str">
        <f>VLOOKUP(D1394,Products!$A:$F,3,FALSE)</f>
        <v>Beauty</v>
      </c>
      <c r="M1394" t="b">
        <f>VLOOKUP(D1394,Products!$A:$F,6,FALSE)</f>
        <v>1</v>
      </c>
      <c r="N1394">
        <f>VLOOKUP(D1394,Products!$A:$F,4,FALSE)</f>
        <v>1219</v>
      </c>
      <c r="O1394" t="str">
        <f>VLOOKUP(C1394,Customers!$A:$F,5,FALSE)</f>
        <v>SMB</v>
      </c>
      <c r="P1394">
        <f>VLOOKUP(C1394,Customers!$A:$F,3,FALSE)</f>
        <v>46</v>
      </c>
      <c r="Q1394" t="str">
        <f>VLOOKUP(E1394,Sales_Reps!$A:$E,3,FALSE)</f>
        <v>North</v>
      </c>
      <c r="R1394" t="str">
        <f>VLOOKUP(E1394,Sales_Reps!$A:$E,2,FALSE)</f>
        <v>Kavita Patel</v>
      </c>
      <c r="S1394">
        <f t="shared" si="21"/>
        <v>0.46768558951965067</v>
      </c>
    </row>
    <row r="1395" spans="1:19" x14ac:dyDescent="0.3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  <c r="L1395" t="str">
        <f>VLOOKUP(D1395,Products!$A:$F,3,FALSE)</f>
        <v>Electronics</v>
      </c>
      <c r="M1395" t="b">
        <f>VLOOKUP(D1395,Products!$A:$F,6,FALSE)</f>
        <v>1</v>
      </c>
      <c r="N1395">
        <f>VLOOKUP(D1395,Products!$A:$F,4,FALSE)</f>
        <v>2405</v>
      </c>
      <c r="O1395" t="str">
        <f>VLOOKUP(C1395,Customers!$A:$F,5,FALSE)</f>
        <v>Retail</v>
      </c>
      <c r="P1395">
        <f>VLOOKUP(C1395,Customers!$A:$F,3,FALSE)</f>
        <v>50</v>
      </c>
      <c r="Q1395" t="str">
        <f>VLOOKUP(E1395,Sales_Reps!$A:$E,3,FALSE)</f>
        <v>East</v>
      </c>
      <c r="R1395" t="str">
        <f>VLOOKUP(E1395,Sales_Reps!$A:$E,2,FALSE)</f>
        <v>Vinod Kumar</v>
      </c>
      <c r="S1395">
        <f t="shared" si="21"/>
        <v>0.54878048780487809</v>
      </c>
    </row>
    <row r="1396" spans="1:19" x14ac:dyDescent="0.3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  <c r="L1396" t="str">
        <f>VLOOKUP(D1396,Products!$A:$F,3,FALSE)</f>
        <v>Apparel</v>
      </c>
      <c r="M1396" t="b">
        <f>VLOOKUP(D1396,Products!$A:$F,6,FALSE)</f>
        <v>1</v>
      </c>
      <c r="N1396">
        <f>VLOOKUP(D1396,Products!$A:$F,4,FALSE)</f>
        <v>2611</v>
      </c>
      <c r="O1396" t="str">
        <f>VLOOKUP(C1396,Customers!$A:$F,5,FALSE)</f>
        <v>Retail</v>
      </c>
      <c r="P1396">
        <f>VLOOKUP(C1396,Customers!$A:$F,3,FALSE)</f>
        <v>41</v>
      </c>
      <c r="Q1396" t="str">
        <f>VLOOKUP(E1396,Sales_Reps!$A:$E,3,FALSE)</f>
        <v>East</v>
      </c>
      <c r="R1396" t="str">
        <f>VLOOKUP(E1396,Sales_Reps!$A:$E,2,FALSE)</f>
        <v>Shalini Patel</v>
      </c>
      <c r="S1396">
        <f t="shared" si="21"/>
        <v>0.28269230769230769</v>
      </c>
    </row>
    <row r="1397" spans="1:19" x14ac:dyDescent="0.3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  <c r="L1397" t="str">
        <f>VLOOKUP(D1397,Products!$A:$F,3,FALSE)</f>
        <v>Home</v>
      </c>
      <c r="M1397" t="b">
        <f>VLOOKUP(D1397,Products!$A:$F,6,FALSE)</f>
        <v>1</v>
      </c>
      <c r="N1397">
        <f>VLOOKUP(D1397,Products!$A:$F,4,FALSE)</f>
        <v>2459</v>
      </c>
      <c r="O1397" t="str">
        <f>VLOOKUP(C1397,Customers!$A:$F,5,FALSE)</f>
        <v>SMB</v>
      </c>
      <c r="P1397">
        <f>VLOOKUP(C1397,Customers!$A:$F,3,FALSE)</f>
        <v>40</v>
      </c>
      <c r="Q1397" t="str">
        <f>VLOOKUP(E1397,Sales_Reps!$A:$E,3,FALSE)</f>
        <v>West</v>
      </c>
      <c r="R1397" t="str">
        <f>VLOOKUP(E1397,Sales_Reps!$A:$E,2,FALSE)</f>
        <v>Rekha Chopra</v>
      </c>
      <c r="S1397">
        <f t="shared" si="21"/>
        <v>0.51594488188976373</v>
      </c>
    </row>
    <row r="1398" spans="1:19" x14ac:dyDescent="0.3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  <c r="L1398" t="str">
        <f>VLOOKUP(D1398,Products!$A:$F,3,FALSE)</f>
        <v>Home</v>
      </c>
      <c r="M1398" t="b">
        <f>VLOOKUP(D1398,Products!$A:$F,6,FALSE)</f>
        <v>1</v>
      </c>
      <c r="N1398">
        <f>VLOOKUP(D1398,Products!$A:$F,4,FALSE)</f>
        <v>464</v>
      </c>
      <c r="O1398" t="str">
        <f>VLOOKUP(C1398,Customers!$A:$F,5,FALSE)</f>
        <v>SMB</v>
      </c>
      <c r="P1398">
        <f>VLOOKUP(C1398,Customers!$A:$F,3,FALSE)</f>
        <v>26</v>
      </c>
      <c r="Q1398" t="str">
        <f>VLOOKUP(E1398,Sales_Reps!$A:$E,3,FALSE)</f>
        <v>East</v>
      </c>
      <c r="R1398" t="str">
        <f>VLOOKUP(E1398,Sales_Reps!$A:$E,2,FALSE)</f>
        <v>Shalini Patel</v>
      </c>
      <c r="S1398">
        <f t="shared" si="21"/>
        <v>0.57431192660550456</v>
      </c>
    </row>
    <row r="1399" spans="1:19" x14ac:dyDescent="0.3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  <c r="L1399" t="str">
        <f>VLOOKUP(D1399,Products!$A:$F,3,FALSE)</f>
        <v>Beauty</v>
      </c>
      <c r="M1399" t="b">
        <f>VLOOKUP(D1399,Products!$A:$F,6,FALSE)</f>
        <v>1</v>
      </c>
      <c r="N1399">
        <f>VLOOKUP(D1399,Products!$A:$F,4,FALSE)</f>
        <v>2420</v>
      </c>
      <c r="O1399" t="str">
        <f>VLOOKUP(C1399,Customers!$A:$F,5,FALSE)</f>
        <v>Corporate</v>
      </c>
      <c r="P1399">
        <f>VLOOKUP(C1399,Customers!$A:$F,3,FALSE)</f>
        <v>47</v>
      </c>
      <c r="Q1399" t="str">
        <f>VLOOKUP(E1399,Sales_Reps!$A:$E,3,FALSE)</f>
        <v>West</v>
      </c>
      <c r="R1399" t="str">
        <f>VLOOKUP(E1399,Sales_Reps!$A:$E,2,FALSE)</f>
        <v>Kiran Bhatt</v>
      </c>
      <c r="S1399">
        <f t="shared" si="21"/>
        <v>0.29855072463768118</v>
      </c>
    </row>
    <row r="1400" spans="1:19" x14ac:dyDescent="0.3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  <c r="L1400" t="str">
        <f>VLOOKUP(D1400,Products!$A:$F,3,FALSE)</f>
        <v>Sports</v>
      </c>
      <c r="M1400" t="b">
        <f>VLOOKUP(D1400,Products!$A:$F,6,FALSE)</f>
        <v>1</v>
      </c>
      <c r="N1400">
        <f>VLOOKUP(D1400,Products!$A:$F,4,FALSE)</f>
        <v>2265</v>
      </c>
      <c r="O1400" t="str">
        <f>VLOOKUP(C1400,Customers!$A:$F,5,FALSE)</f>
        <v>Retail</v>
      </c>
      <c r="P1400">
        <f>VLOOKUP(C1400,Customers!$A:$F,3,FALSE)</f>
        <v>53</v>
      </c>
      <c r="Q1400" t="str">
        <f>VLOOKUP(E1400,Sales_Reps!$A:$E,3,FALSE)</f>
        <v>South</v>
      </c>
      <c r="R1400" t="str">
        <f>VLOOKUP(E1400,Sales_Reps!$A:$E,2,FALSE)</f>
        <v>Manoj Patel</v>
      </c>
      <c r="S1400">
        <f t="shared" si="21"/>
        <v>0.58133086876155271</v>
      </c>
    </row>
    <row r="1401" spans="1:19" x14ac:dyDescent="0.3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  <c r="L1401" t="str">
        <f>VLOOKUP(D1401,Products!$A:$F,3,FALSE)</f>
        <v>Apparel</v>
      </c>
      <c r="M1401" t="b">
        <f>VLOOKUP(D1401,Products!$A:$F,6,FALSE)</f>
        <v>1</v>
      </c>
      <c r="N1401">
        <f>VLOOKUP(D1401,Products!$A:$F,4,FALSE)</f>
        <v>1748</v>
      </c>
      <c r="O1401" t="str">
        <f>VLOOKUP(C1401,Customers!$A:$F,5,FALSE)</f>
        <v>SMB</v>
      </c>
      <c r="P1401">
        <f>VLOOKUP(C1401,Customers!$A:$F,3,FALSE)</f>
        <v>34</v>
      </c>
      <c r="Q1401" t="str">
        <f>VLOOKUP(E1401,Sales_Reps!$A:$E,3,FALSE)</f>
        <v>West</v>
      </c>
      <c r="R1401" t="str">
        <f>VLOOKUP(E1401,Sales_Reps!$A:$E,2,FALSE)</f>
        <v>Kiran Bhatt</v>
      </c>
      <c r="S1401">
        <f t="shared" si="21"/>
        <v>0.49333333333333335</v>
      </c>
    </row>
    <row r="1402" spans="1:19" x14ac:dyDescent="0.3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  <c r="L1402" t="str">
        <f>VLOOKUP(D1402,Products!$A:$F,3,FALSE)</f>
        <v>Apparel</v>
      </c>
      <c r="M1402" t="b">
        <f>VLOOKUP(D1402,Products!$A:$F,6,FALSE)</f>
        <v>1</v>
      </c>
      <c r="N1402">
        <f>VLOOKUP(D1402,Products!$A:$F,4,FALSE)</f>
        <v>1886</v>
      </c>
      <c r="O1402" t="str">
        <f>VLOOKUP(C1402,Customers!$A:$F,5,FALSE)</f>
        <v>Retail</v>
      </c>
      <c r="P1402">
        <f>VLOOKUP(C1402,Customers!$A:$F,3,FALSE)</f>
        <v>29</v>
      </c>
      <c r="Q1402" t="str">
        <f>VLOOKUP(E1402,Sales_Reps!$A:$E,3,FALSE)</f>
        <v>West</v>
      </c>
      <c r="R1402" t="str">
        <f>VLOOKUP(E1402,Sales_Reps!$A:$E,2,FALSE)</f>
        <v>Ashok Reddy</v>
      </c>
      <c r="S1402">
        <f t="shared" si="21"/>
        <v>0.4031645569620253</v>
      </c>
    </row>
    <row r="1403" spans="1:19" x14ac:dyDescent="0.3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  <c r="L1403" t="str">
        <f>VLOOKUP(D1403,Products!$A:$F,3,FALSE)</f>
        <v>Beauty</v>
      </c>
      <c r="M1403" t="b">
        <f>VLOOKUP(D1403,Products!$A:$F,6,FALSE)</f>
        <v>0</v>
      </c>
      <c r="N1403">
        <f>VLOOKUP(D1403,Products!$A:$F,4,FALSE)</f>
        <v>647</v>
      </c>
      <c r="O1403" t="str">
        <f>VLOOKUP(C1403,Customers!$A:$F,5,FALSE)</f>
        <v>Corporate</v>
      </c>
      <c r="P1403">
        <f>VLOOKUP(C1403,Customers!$A:$F,3,FALSE)</f>
        <v>57</v>
      </c>
      <c r="Q1403" t="str">
        <f>VLOOKUP(E1403,Sales_Reps!$A:$E,3,FALSE)</f>
        <v>West</v>
      </c>
      <c r="R1403" t="str">
        <f>VLOOKUP(E1403,Sales_Reps!$A:$E,2,FALSE)</f>
        <v>Sonia Malhotra</v>
      </c>
      <c r="S1403">
        <f t="shared" si="21"/>
        <v>0.57987012987012987</v>
      </c>
    </row>
    <row r="1404" spans="1:19" x14ac:dyDescent="0.3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  <c r="L1404" t="str">
        <f>VLOOKUP(D1404,Products!$A:$F,3,FALSE)</f>
        <v>Apparel</v>
      </c>
      <c r="M1404" t="b">
        <f>VLOOKUP(D1404,Products!$A:$F,6,FALSE)</f>
        <v>1</v>
      </c>
      <c r="N1404">
        <f>VLOOKUP(D1404,Products!$A:$F,4,FALSE)</f>
        <v>2611</v>
      </c>
      <c r="O1404" t="str">
        <f>VLOOKUP(C1404,Customers!$A:$F,5,FALSE)</f>
        <v>SMB</v>
      </c>
      <c r="P1404">
        <f>VLOOKUP(C1404,Customers!$A:$F,3,FALSE)</f>
        <v>54</v>
      </c>
      <c r="Q1404" t="str">
        <f>VLOOKUP(E1404,Sales_Reps!$A:$E,3,FALSE)</f>
        <v>East</v>
      </c>
      <c r="R1404" t="str">
        <f>VLOOKUP(E1404,Sales_Reps!$A:$E,2,FALSE)</f>
        <v>Nisha Menon</v>
      </c>
      <c r="S1404">
        <f t="shared" si="21"/>
        <v>0.28269230769230769</v>
      </c>
    </row>
    <row r="1405" spans="1:19" x14ac:dyDescent="0.3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  <c r="L1405" t="str">
        <f>VLOOKUP(D1405,Products!$A:$F,3,FALSE)</f>
        <v>Sports</v>
      </c>
      <c r="M1405" t="b">
        <f>VLOOKUP(D1405,Products!$A:$F,6,FALSE)</f>
        <v>1</v>
      </c>
      <c r="N1405">
        <f>VLOOKUP(D1405,Products!$A:$F,4,FALSE)</f>
        <v>1860</v>
      </c>
      <c r="O1405" t="str">
        <f>VLOOKUP(C1405,Customers!$A:$F,5,FALSE)</f>
        <v>Retail</v>
      </c>
      <c r="P1405">
        <f>VLOOKUP(C1405,Customers!$A:$F,3,FALSE)</f>
        <v>60</v>
      </c>
      <c r="Q1405" t="str">
        <f>VLOOKUP(E1405,Sales_Reps!$A:$E,3,FALSE)</f>
        <v>North</v>
      </c>
      <c r="R1405" t="str">
        <f>VLOOKUP(E1405,Sales_Reps!$A:$E,2,FALSE)</f>
        <v>Sunita Malhotra</v>
      </c>
      <c r="S1405">
        <f t="shared" si="21"/>
        <v>0.50793650793650791</v>
      </c>
    </row>
    <row r="1406" spans="1:19" x14ac:dyDescent="0.3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  <c r="L1406" t="str">
        <f>VLOOKUP(D1406,Products!$A:$F,3,FALSE)</f>
        <v>Apparel</v>
      </c>
      <c r="M1406" t="b">
        <f>VLOOKUP(D1406,Products!$A:$F,6,FALSE)</f>
        <v>1</v>
      </c>
      <c r="N1406">
        <f>VLOOKUP(D1406,Products!$A:$F,4,FALSE)</f>
        <v>1962</v>
      </c>
      <c r="O1406" t="str">
        <f>VLOOKUP(C1406,Customers!$A:$F,5,FALSE)</f>
        <v>Retail</v>
      </c>
      <c r="P1406">
        <f>VLOOKUP(C1406,Customers!$A:$F,3,FALSE)</f>
        <v>59</v>
      </c>
      <c r="Q1406" t="str">
        <f>VLOOKUP(E1406,Sales_Reps!$A:$E,3,FALSE)</f>
        <v>West</v>
      </c>
      <c r="R1406" t="str">
        <f>VLOOKUP(E1406,Sales_Reps!$A:$E,2,FALSE)</f>
        <v>Ashok Reddy</v>
      </c>
      <c r="S1406">
        <f t="shared" si="21"/>
        <v>0.2786764705882353</v>
      </c>
    </row>
    <row r="1407" spans="1:19" x14ac:dyDescent="0.3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  <c r="L1407" t="str">
        <f>VLOOKUP(D1407,Products!$A:$F,3,FALSE)</f>
        <v>Apparel</v>
      </c>
      <c r="M1407" t="b">
        <f>VLOOKUP(D1407,Products!$A:$F,6,FALSE)</f>
        <v>1</v>
      </c>
      <c r="N1407">
        <f>VLOOKUP(D1407,Products!$A:$F,4,FALSE)</f>
        <v>2509</v>
      </c>
      <c r="O1407" t="str">
        <f>VLOOKUP(C1407,Customers!$A:$F,5,FALSE)</f>
        <v>Retail</v>
      </c>
      <c r="P1407">
        <f>VLOOKUP(C1407,Customers!$A:$F,3,FALSE)</f>
        <v>49</v>
      </c>
      <c r="Q1407" t="str">
        <f>VLOOKUP(E1407,Sales_Reps!$A:$E,3,FALSE)</f>
        <v>North</v>
      </c>
      <c r="R1407" t="str">
        <f>VLOOKUP(E1407,Sales_Reps!$A:$E,2,FALSE)</f>
        <v>Priya Singh</v>
      </c>
      <c r="S1407">
        <f t="shared" si="21"/>
        <v>0.3069060773480663</v>
      </c>
    </row>
    <row r="1408" spans="1:19" x14ac:dyDescent="0.3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  <c r="L1408" t="str">
        <f>VLOOKUP(D1408,Products!$A:$F,3,FALSE)</f>
        <v>Apparel</v>
      </c>
      <c r="M1408" t="b">
        <f>VLOOKUP(D1408,Products!$A:$F,6,FALSE)</f>
        <v>1</v>
      </c>
      <c r="N1408">
        <f>VLOOKUP(D1408,Products!$A:$F,4,FALSE)</f>
        <v>1748</v>
      </c>
      <c r="O1408" t="str">
        <f>VLOOKUP(C1408,Customers!$A:$F,5,FALSE)</f>
        <v>Retail</v>
      </c>
      <c r="P1408">
        <f>VLOOKUP(C1408,Customers!$A:$F,3,FALSE)</f>
        <v>61</v>
      </c>
      <c r="Q1408" t="str">
        <f>VLOOKUP(E1408,Sales_Reps!$A:$E,3,FALSE)</f>
        <v>North</v>
      </c>
      <c r="R1408" t="str">
        <f>VLOOKUP(E1408,Sales_Reps!$A:$E,2,FALSE)</f>
        <v>Priya Singh</v>
      </c>
      <c r="S1408">
        <f t="shared" si="21"/>
        <v>0.49333333333333335</v>
      </c>
    </row>
    <row r="1409" spans="1:19" x14ac:dyDescent="0.3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  <c r="L1409" t="str">
        <f>VLOOKUP(D1409,Products!$A:$F,3,FALSE)</f>
        <v>Apparel</v>
      </c>
      <c r="M1409" t="b">
        <f>VLOOKUP(D1409,Products!$A:$F,6,FALSE)</f>
        <v>1</v>
      </c>
      <c r="N1409">
        <f>VLOOKUP(D1409,Products!$A:$F,4,FALSE)</f>
        <v>2611</v>
      </c>
      <c r="O1409" t="str">
        <f>VLOOKUP(C1409,Customers!$A:$F,5,FALSE)</f>
        <v>SMB</v>
      </c>
      <c r="P1409">
        <f>VLOOKUP(C1409,Customers!$A:$F,3,FALSE)</f>
        <v>29</v>
      </c>
      <c r="Q1409" t="str">
        <f>VLOOKUP(E1409,Sales_Reps!$A:$E,3,FALSE)</f>
        <v>South</v>
      </c>
      <c r="R1409" t="str">
        <f>VLOOKUP(E1409,Sales_Reps!$A:$E,2,FALSE)</f>
        <v>Ritu Menon</v>
      </c>
      <c r="S1409">
        <f t="shared" si="21"/>
        <v>0.28269230769230769</v>
      </c>
    </row>
    <row r="1410" spans="1:19" x14ac:dyDescent="0.3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  <c r="L1410" t="str">
        <f>VLOOKUP(D1410,Products!$A:$F,3,FALSE)</f>
        <v>Apparel</v>
      </c>
      <c r="M1410" t="b">
        <f>VLOOKUP(D1410,Products!$A:$F,6,FALSE)</f>
        <v>1</v>
      </c>
      <c r="N1410">
        <f>VLOOKUP(D1410,Products!$A:$F,4,FALSE)</f>
        <v>396</v>
      </c>
      <c r="O1410" t="str">
        <f>VLOOKUP(C1410,Customers!$A:$F,5,FALSE)</f>
        <v>Retail</v>
      </c>
      <c r="P1410">
        <f>VLOOKUP(C1410,Customers!$A:$F,3,FALSE)</f>
        <v>33</v>
      </c>
      <c r="Q1410" t="str">
        <f>VLOOKUP(E1410,Sales_Reps!$A:$E,3,FALSE)</f>
        <v>East</v>
      </c>
      <c r="R1410" t="str">
        <f>VLOOKUP(E1410,Sales_Reps!$A:$E,2,FALSE)</f>
        <v>Vinod Kumar</v>
      </c>
      <c r="S1410">
        <f t="shared" si="21"/>
        <v>0.36129032258064514</v>
      </c>
    </row>
    <row r="1411" spans="1:19" x14ac:dyDescent="0.3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  <c r="L1411" t="str">
        <f>VLOOKUP(D1411,Products!$A:$F,3,FALSE)</f>
        <v>Sports</v>
      </c>
      <c r="M1411" t="b">
        <f>VLOOKUP(D1411,Products!$A:$F,6,FALSE)</f>
        <v>1</v>
      </c>
      <c r="N1411">
        <f>VLOOKUP(D1411,Products!$A:$F,4,FALSE)</f>
        <v>1860</v>
      </c>
      <c r="O1411" t="str">
        <f>VLOOKUP(C1411,Customers!$A:$F,5,FALSE)</f>
        <v>Retail</v>
      </c>
      <c r="P1411">
        <f>VLOOKUP(C1411,Customers!$A:$F,3,FALSE)</f>
        <v>24</v>
      </c>
      <c r="Q1411" t="str">
        <f>VLOOKUP(E1411,Sales_Reps!$A:$E,3,FALSE)</f>
        <v>South</v>
      </c>
      <c r="R1411" t="str">
        <f>VLOOKUP(E1411,Sales_Reps!$A:$E,2,FALSE)</f>
        <v>Anjali Chopra</v>
      </c>
      <c r="S1411">
        <f t="shared" ref="S1411:S1474" si="22">IFERROR((G1411-N1411)/G1411,"")</f>
        <v>0.50793650793650791</v>
      </c>
    </row>
    <row r="1412" spans="1:19" x14ac:dyDescent="0.3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  <c r="L1412" t="str">
        <f>VLOOKUP(D1412,Products!$A:$F,3,FALSE)</f>
        <v>Electronics</v>
      </c>
      <c r="M1412" t="b">
        <f>VLOOKUP(D1412,Products!$A:$F,6,FALSE)</f>
        <v>1</v>
      </c>
      <c r="N1412">
        <f>VLOOKUP(D1412,Products!$A:$F,4,FALSE)</f>
        <v>1665</v>
      </c>
      <c r="O1412" t="str">
        <f>VLOOKUP(C1412,Customers!$A:$F,5,FALSE)</f>
        <v>SMB</v>
      </c>
      <c r="P1412">
        <f>VLOOKUP(C1412,Customers!$A:$F,3,FALSE)</f>
        <v>55</v>
      </c>
      <c r="Q1412" t="str">
        <f>VLOOKUP(E1412,Sales_Reps!$A:$E,3,FALSE)</f>
        <v>South</v>
      </c>
      <c r="R1412" t="str">
        <f>VLOOKUP(E1412,Sales_Reps!$A:$E,2,FALSE)</f>
        <v>Manoj Patel</v>
      </c>
      <c r="S1412">
        <f t="shared" si="22"/>
        <v>0.53361344537815125</v>
      </c>
    </row>
    <row r="1413" spans="1:19" x14ac:dyDescent="0.3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  <c r="L1413" t="str">
        <f>VLOOKUP(D1413,Products!$A:$F,3,FALSE)</f>
        <v>Beauty</v>
      </c>
      <c r="M1413" t="b">
        <f>VLOOKUP(D1413,Products!$A:$F,6,FALSE)</f>
        <v>1</v>
      </c>
      <c r="N1413">
        <f>VLOOKUP(D1413,Products!$A:$F,4,FALSE)</f>
        <v>1222</v>
      </c>
      <c r="O1413" t="str">
        <f>VLOOKUP(C1413,Customers!$A:$F,5,FALSE)</f>
        <v>Retail</v>
      </c>
      <c r="P1413">
        <f>VLOOKUP(C1413,Customers!$A:$F,3,FALSE)</f>
        <v>24</v>
      </c>
      <c r="Q1413" t="str">
        <f>VLOOKUP(E1413,Sales_Reps!$A:$E,3,FALSE)</f>
        <v>North</v>
      </c>
      <c r="R1413" t="str">
        <f>VLOOKUP(E1413,Sales_Reps!$A:$E,2,FALSE)</f>
        <v>Sunita Malhotra</v>
      </c>
      <c r="S1413">
        <f t="shared" si="22"/>
        <v>0.2593939393939394</v>
      </c>
    </row>
    <row r="1414" spans="1:19" x14ac:dyDescent="0.3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  <c r="L1414" t="str">
        <f>VLOOKUP(D1414,Products!$A:$F,3,FALSE)</f>
        <v>Beauty</v>
      </c>
      <c r="M1414" t="b">
        <f>VLOOKUP(D1414,Products!$A:$F,6,FALSE)</f>
        <v>1</v>
      </c>
      <c r="N1414">
        <f>VLOOKUP(D1414,Products!$A:$F,4,FALSE)</f>
        <v>675</v>
      </c>
      <c r="O1414" t="str">
        <f>VLOOKUP(C1414,Customers!$A:$F,5,FALSE)</f>
        <v>SMB</v>
      </c>
      <c r="P1414">
        <f>VLOOKUP(C1414,Customers!$A:$F,3,FALSE)</f>
        <v>54</v>
      </c>
      <c r="Q1414" t="str">
        <f>VLOOKUP(E1414,Sales_Reps!$A:$E,3,FALSE)</f>
        <v>South</v>
      </c>
      <c r="R1414" t="str">
        <f>VLOOKUP(E1414,Sales_Reps!$A:$E,2,FALSE)</f>
        <v>Pooja Nair</v>
      </c>
      <c r="S1414">
        <f t="shared" si="22"/>
        <v>0.296875</v>
      </c>
    </row>
    <row r="1415" spans="1:19" x14ac:dyDescent="0.3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  <c r="L1415" t="str">
        <f>VLOOKUP(D1415,Products!$A:$F,3,FALSE)</f>
        <v>Electronics</v>
      </c>
      <c r="M1415" t="b">
        <f>VLOOKUP(D1415,Products!$A:$F,6,FALSE)</f>
        <v>1</v>
      </c>
      <c r="N1415">
        <f>VLOOKUP(D1415,Products!$A:$F,4,FALSE)</f>
        <v>128</v>
      </c>
      <c r="O1415" t="str">
        <f>VLOOKUP(C1415,Customers!$A:$F,5,FALSE)</f>
        <v>Corporate</v>
      </c>
      <c r="P1415">
        <f>VLOOKUP(C1415,Customers!$A:$F,3,FALSE)</f>
        <v>62</v>
      </c>
      <c r="Q1415" t="str">
        <f>VLOOKUP(E1415,Sales_Reps!$A:$E,3,FALSE)</f>
        <v>North</v>
      </c>
      <c r="R1415" t="str">
        <f>VLOOKUP(E1415,Sales_Reps!$A:$E,2,FALSE)</f>
        <v>Neha Desai</v>
      </c>
      <c r="S1415">
        <f t="shared" si="22"/>
        <v>0.57333333333333336</v>
      </c>
    </row>
    <row r="1416" spans="1:19" x14ac:dyDescent="0.3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  <c r="L1416" t="str">
        <f>VLOOKUP(D1416,Products!$A:$F,3,FALSE)</f>
        <v>Grocery</v>
      </c>
      <c r="M1416" t="b">
        <f>VLOOKUP(D1416,Products!$A:$F,6,FALSE)</f>
        <v>1</v>
      </c>
      <c r="N1416">
        <f>VLOOKUP(D1416,Products!$A:$F,4,FALSE)</f>
        <v>2911</v>
      </c>
      <c r="O1416" t="str">
        <f>VLOOKUP(C1416,Customers!$A:$F,5,FALSE)</f>
        <v>Retail</v>
      </c>
      <c r="P1416">
        <f>VLOOKUP(C1416,Customers!$A:$F,3,FALSE)</f>
        <v>57</v>
      </c>
      <c r="Q1416" t="str">
        <f>VLOOKUP(E1416,Sales_Reps!$A:$E,3,FALSE)</f>
        <v>West</v>
      </c>
      <c r="R1416" t="str">
        <f>VLOOKUP(E1416,Sales_Reps!$A:$E,2,FALSE)</f>
        <v>Ramesh Bhatt</v>
      </c>
      <c r="S1416">
        <f t="shared" si="22"/>
        <v>0.28300492610837441</v>
      </c>
    </row>
    <row r="1417" spans="1:19" x14ac:dyDescent="0.3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  <c r="L1417" t="str">
        <f>VLOOKUP(D1417,Products!$A:$F,3,FALSE)</f>
        <v>Electronics</v>
      </c>
      <c r="M1417" t="b">
        <f>VLOOKUP(D1417,Products!$A:$F,6,FALSE)</f>
        <v>1</v>
      </c>
      <c r="N1417">
        <f>VLOOKUP(D1417,Products!$A:$F,4,FALSE)</f>
        <v>2405</v>
      </c>
      <c r="O1417" t="str">
        <f>VLOOKUP(C1417,Customers!$A:$F,5,FALSE)</f>
        <v>Retail</v>
      </c>
      <c r="P1417">
        <f>VLOOKUP(C1417,Customers!$A:$F,3,FALSE)</f>
        <v>36</v>
      </c>
      <c r="Q1417" t="str">
        <f>VLOOKUP(E1417,Sales_Reps!$A:$E,3,FALSE)</f>
        <v>East</v>
      </c>
      <c r="R1417" t="str">
        <f>VLOOKUP(E1417,Sales_Reps!$A:$E,2,FALSE)</f>
        <v>Nisha Menon</v>
      </c>
      <c r="S1417">
        <f t="shared" si="22"/>
        <v>0.54878048780487809</v>
      </c>
    </row>
    <row r="1418" spans="1:19" x14ac:dyDescent="0.3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  <c r="L1418" t="str">
        <f>VLOOKUP(D1418,Products!$A:$F,3,FALSE)</f>
        <v>Home</v>
      </c>
      <c r="M1418" t="b">
        <f>VLOOKUP(D1418,Products!$A:$F,6,FALSE)</f>
        <v>1</v>
      </c>
      <c r="N1418">
        <f>VLOOKUP(D1418,Products!$A:$F,4,FALSE)</f>
        <v>2135</v>
      </c>
      <c r="O1418" t="str">
        <f>VLOOKUP(C1418,Customers!$A:$F,5,FALSE)</f>
        <v>Retail</v>
      </c>
      <c r="P1418">
        <f>VLOOKUP(C1418,Customers!$A:$F,3,FALSE)</f>
        <v>44</v>
      </c>
      <c r="Q1418" t="str">
        <f>VLOOKUP(E1418,Sales_Reps!$A:$E,3,FALSE)</f>
        <v>East</v>
      </c>
      <c r="R1418" t="str">
        <f>VLOOKUP(E1418,Sales_Reps!$A:$E,2,FALSE)</f>
        <v>Gaurav Desai</v>
      </c>
      <c r="S1418">
        <f t="shared" si="22"/>
        <v>0.42761394101876676</v>
      </c>
    </row>
    <row r="1419" spans="1:19" x14ac:dyDescent="0.3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  <c r="L1419" t="str">
        <f>VLOOKUP(D1419,Products!$A:$F,3,FALSE)</f>
        <v>Beauty</v>
      </c>
      <c r="M1419" t="b">
        <f>VLOOKUP(D1419,Products!$A:$F,6,FALSE)</f>
        <v>1</v>
      </c>
      <c r="N1419">
        <f>VLOOKUP(D1419,Products!$A:$F,4,FALSE)</f>
        <v>2617</v>
      </c>
      <c r="O1419" t="str">
        <f>VLOOKUP(C1419,Customers!$A:$F,5,FALSE)</f>
        <v>Retail</v>
      </c>
      <c r="P1419">
        <f>VLOOKUP(C1419,Customers!$A:$F,3,FALSE)</f>
        <v>60</v>
      </c>
      <c r="Q1419" t="str">
        <f>VLOOKUP(E1419,Sales_Reps!$A:$E,3,FALSE)</f>
        <v>West</v>
      </c>
      <c r="R1419" t="str">
        <f>VLOOKUP(E1419,Sales_Reps!$A:$E,2,FALSE)</f>
        <v>Kiran Bhatt</v>
      </c>
      <c r="S1419">
        <f t="shared" si="22"/>
        <v>0.56957236842105263</v>
      </c>
    </row>
    <row r="1420" spans="1:19" x14ac:dyDescent="0.3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  <c r="L1420" t="str">
        <f>VLOOKUP(D1420,Products!$A:$F,3,FALSE)</f>
        <v>Apparel</v>
      </c>
      <c r="M1420" t="b">
        <f>VLOOKUP(D1420,Products!$A:$F,6,FALSE)</f>
        <v>1</v>
      </c>
      <c r="N1420">
        <f>VLOOKUP(D1420,Products!$A:$F,4,FALSE)</f>
        <v>1962</v>
      </c>
      <c r="O1420" t="str">
        <f>VLOOKUP(C1420,Customers!$A:$F,5,FALSE)</f>
        <v>Retail</v>
      </c>
      <c r="P1420">
        <f>VLOOKUP(C1420,Customers!$A:$F,3,FALSE)</f>
        <v>33</v>
      </c>
      <c r="Q1420" t="str">
        <f>VLOOKUP(E1420,Sales_Reps!$A:$E,3,FALSE)</f>
        <v>West</v>
      </c>
      <c r="R1420" t="str">
        <f>VLOOKUP(E1420,Sales_Reps!$A:$E,2,FALSE)</f>
        <v>Ashok Reddy</v>
      </c>
      <c r="S1420">
        <f t="shared" si="22"/>
        <v>0.2786764705882353</v>
      </c>
    </row>
    <row r="1421" spans="1:19" x14ac:dyDescent="0.3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  <c r="L1421" t="str">
        <f>VLOOKUP(D1421,Products!$A:$F,3,FALSE)</f>
        <v>Apparel</v>
      </c>
      <c r="M1421" t="b">
        <f>VLOOKUP(D1421,Products!$A:$F,6,FALSE)</f>
        <v>1</v>
      </c>
      <c r="N1421">
        <f>VLOOKUP(D1421,Products!$A:$F,4,FALSE)</f>
        <v>1748</v>
      </c>
      <c r="O1421" t="str">
        <f>VLOOKUP(C1421,Customers!$A:$F,5,FALSE)</f>
        <v>Retail</v>
      </c>
      <c r="P1421">
        <f>VLOOKUP(C1421,Customers!$A:$F,3,FALSE)</f>
        <v>61</v>
      </c>
      <c r="Q1421" t="str">
        <f>VLOOKUP(E1421,Sales_Reps!$A:$E,3,FALSE)</f>
        <v>East</v>
      </c>
      <c r="R1421" t="str">
        <f>VLOOKUP(E1421,Sales_Reps!$A:$E,2,FALSE)</f>
        <v>Vinod Kumar</v>
      </c>
      <c r="S1421">
        <f t="shared" si="22"/>
        <v>0.49333333333333335</v>
      </c>
    </row>
    <row r="1422" spans="1:19" x14ac:dyDescent="0.3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  <c r="L1422" t="str">
        <f>VLOOKUP(D1422,Products!$A:$F,3,FALSE)</f>
        <v>Home</v>
      </c>
      <c r="M1422" t="b">
        <f>VLOOKUP(D1422,Products!$A:$F,6,FALSE)</f>
        <v>1</v>
      </c>
      <c r="N1422">
        <f>VLOOKUP(D1422,Products!$A:$F,4,FALSE)</f>
        <v>464</v>
      </c>
      <c r="O1422" t="str">
        <f>VLOOKUP(C1422,Customers!$A:$F,5,FALSE)</f>
        <v>Retail</v>
      </c>
      <c r="P1422">
        <f>VLOOKUP(C1422,Customers!$A:$F,3,FALSE)</f>
        <v>53</v>
      </c>
      <c r="Q1422" t="str">
        <f>VLOOKUP(E1422,Sales_Reps!$A:$E,3,FALSE)</f>
        <v>East</v>
      </c>
      <c r="R1422" t="str">
        <f>VLOOKUP(E1422,Sales_Reps!$A:$E,2,FALSE)</f>
        <v>Nisha Menon</v>
      </c>
      <c r="S1422">
        <f t="shared" si="22"/>
        <v>0.57431192660550456</v>
      </c>
    </row>
    <row r="1423" spans="1:19" x14ac:dyDescent="0.3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  <c r="L1423" t="str">
        <f>VLOOKUP(D1423,Products!$A:$F,3,FALSE)</f>
        <v>Electronics</v>
      </c>
      <c r="M1423" t="b">
        <f>VLOOKUP(D1423,Products!$A:$F,6,FALSE)</f>
        <v>1</v>
      </c>
      <c r="N1423">
        <f>VLOOKUP(D1423,Products!$A:$F,4,FALSE)</f>
        <v>1665</v>
      </c>
      <c r="O1423" t="str">
        <f>VLOOKUP(C1423,Customers!$A:$F,5,FALSE)</f>
        <v>Retail</v>
      </c>
      <c r="P1423">
        <f>VLOOKUP(C1423,Customers!$A:$F,3,FALSE)</f>
        <v>38</v>
      </c>
      <c r="Q1423" t="str">
        <f>VLOOKUP(E1423,Sales_Reps!$A:$E,3,FALSE)</f>
        <v>East</v>
      </c>
      <c r="R1423" t="str">
        <f>VLOOKUP(E1423,Sales_Reps!$A:$E,2,FALSE)</f>
        <v>Naveen Singh</v>
      </c>
      <c r="S1423">
        <f t="shared" si="22"/>
        <v>0.53361344537815125</v>
      </c>
    </row>
    <row r="1424" spans="1:19" x14ac:dyDescent="0.3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  <c r="L1424" t="str">
        <f>VLOOKUP(D1424,Products!$A:$F,3,FALSE)</f>
        <v>Apparel</v>
      </c>
      <c r="M1424" t="b">
        <f>VLOOKUP(D1424,Products!$A:$F,6,FALSE)</f>
        <v>1</v>
      </c>
      <c r="N1424">
        <f>VLOOKUP(D1424,Products!$A:$F,4,FALSE)</f>
        <v>1173</v>
      </c>
      <c r="O1424" t="str">
        <f>VLOOKUP(C1424,Customers!$A:$F,5,FALSE)</f>
        <v>SMB</v>
      </c>
      <c r="P1424">
        <f>VLOOKUP(C1424,Customers!$A:$F,3,FALSE)</f>
        <v>55</v>
      </c>
      <c r="Q1424" t="str">
        <f>VLOOKUP(E1424,Sales_Reps!$A:$E,3,FALSE)</f>
        <v>South</v>
      </c>
      <c r="R1424" t="str">
        <f>VLOOKUP(E1424,Sales_Reps!$A:$E,2,FALSE)</f>
        <v>Ritu Menon</v>
      </c>
      <c r="S1424">
        <f t="shared" si="22"/>
        <v>0.52701612903225803</v>
      </c>
    </row>
    <row r="1425" spans="1:19" x14ac:dyDescent="0.3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  <c r="L1425" t="str">
        <f>VLOOKUP(D1425,Products!$A:$F,3,FALSE)</f>
        <v>Grocery</v>
      </c>
      <c r="M1425" t="b">
        <f>VLOOKUP(D1425,Products!$A:$F,6,FALSE)</f>
        <v>1</v>
      </c>
      <c r="N1425">
        <f>VLOOKUP(D1425,Products!$A:$F,4,FALSE)</f>
        <v>2436</v>
      </c>
      <c r="O1425" t="str">
        <f>VLOOKUP(C1425,Customers!$A:$F,5,FALSE)</f>
        <v>Retail</v>
      </c>
      <c r="P1425">
        <f>VLOOKUP(C1425,Customers!$A:$F,3,FALSE)</f>
        <v>25</v>
      </c>
      <c r="Q1425" t="str">
        <f>VLOOKUP(E1425,Sales_Reps!$A:$E,3,FALSE)</f>
        <v>East</v>
      </c>
      <c r="R1425" t="str">
        <f>VLOOKUP(E1425,Sales_Reps!$A:$E,2,FALSE)</f>
        <v>Nisha Menon</v>
      </c>
      <c r="S1425">
        <f t="shared" si="22"/>
        <v>0.35555555555555557</v>
      </c>
    </row>
    <row r="1426" spans="1:19" x14ac:dyDescent="0.3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  <c r="L1426" t="str">
        <f>VLOOKUP(D1426,Products!$A:$F,3,FALSE)</f>
        <v>Grocery</v>
      </c>
      <c r="M1426" t="b">
        <f>VLOOKUP(D1426,Products!$A:$F,6,FALSE)</f>
        <v>1</v>
      </c>
      <c r="N1426">
        <f>VLOOKUP(D1426,Products!$A:$F,4,FALSE)</f>
        <v>2911</v>
      </c>
      <c r="O1426" t="str">
        <f>VLOOKUP(C1426,Customers!$A:$F,5,FALSE)</f>
        <v>SMB</v>
      </c>
      <c r="P1426">
        <f>VLOOKUP(C1426,Customers!$A:$F,3,FALSE)</f>
        <v>28</v>
      </c>
      <c r="Q1426" t="str">
        <f>VLOOKUP(E1426,Sales_Reps!$A:$E,3,FALSE)</f>
        <v>South</v>
      </c>
      <c r="R1426" t="str">
        <f>VLOOKUP(E1426,Sales_Reps!$A:$E,2,FALSE)</f>
        <v>Divya Rao</v>
      </c>
      <c r="S1426">
        <f t="shared" si="22"/>
        <v>0.28300492610837441</v>
      </c>
    </row>
    <row r="1427" spans="1:19" x14ac:dyDescent="0.3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  <c r="L1427" t="str">
        <f>VLOOKUP(D1427,Products!$A:$F,3,FALSE)</f>
        <v>Electronics</v>
      </c>
      <c r="M1427" t="b">
        <f>VLOOKUP(D1427,Products!$A:$F,6,FALSE)</f>
        <v>1</v>
      </c>
      <c r="N1427">
        <f>VLOOKUP(D1427,Products!$A:$F,4,FALSE)</f>
        <v>128</v>
      </c>
      <c r="O1427" t="str">
        <f>VLOOKUP(C1427,Customers!$A:$F,5,FALSE)</f>
        <v>Corporate</v>
      </c>
      <c r="P1427">
        <f>VLOOKUP(C1427,Customers!$A:$F,3,FALSE)</f>
        <v>40</v>
      </c>
      <c r="Q1427" t="str">
        <f>VLOOKUP(E1427,Sales_Reps!$A:$E,3,FALSE)</f>
        <v>North</v>
      </c>
      <c r="R1427" t="str">
        <f>VLOOKUP(E1427,Sales_Reps!$A:$E,2,FALSE)</f>
        <v>Sunita Malhotra</v>
      </c>
      <c r="S1427">
        <f t="shared" si="22"/>
        <v>0.57333333333333336</v>
      </c>
    </row>
    <row r="1428" spans="1:19" x14ac:dyDescent="0.3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  <c r="L1428" t="str">
        <f>VLOOKUP(D1428,Products!$A:$F,3,FALSE)</f>
        <v>Home</v>
      </c>
      <c r="M1428" t="b">
        <f>VLOOKUP(D1428,Products!$A:$F,6,FALSE)</f>
        <v>1</v>
      </c>
      <c r="N1428">
        <f>VLOOKUP(D1428,Products!$A:$F,4,FALSE)</f>
        <v>1556</v>
      </c>
      <c r="O1428" t="str">
        <f>VLOOKUP(C1428,Customers!$A:$F,5,FALSE)</f>
        <v>SMB</v>
      </c>
      <c r="P1428">
        <f>VLOOKUP(C1428,Customers!$A:$F,3,FALSE)</f>
        <v>22</v>
      </c>
      <c r="Q1428" t="str">
        <f>VLOOKUP(E1428,Sales_Reps!$A:$E,3,FALSE)</f>
        <v>North</v>
      </c>
      <c r="R1428" t="str">
        <f>VLOOKUP(E1428,Sales_Reps!$A:$E,2,FALSE)</f>
        <v>Sunita Malhotra</v>
      </c>
      <c r="S1428">
        <f t="shared" si="22"/>
        <v>0.52123076923076928</v>
      </c>
    </row>
    <row r="1429" spans="1:19" x14ac:dyDescent="0.3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  <c r="L1429" t="str">
        <f>VLOOKUP(D1429,Products!$A:$F,3,FALSE)</f>
        <v>Sports</v>
      </c>
      <c r="M1429" t="b">
        <f>VLOOKUP(D1429,Products!$A:$F,6,FALSE)</f>
        <v>1</v>
      </c>
      <c r="N1429">
        <f>VLOOKUP(D1429,Products!$A:$F,4,FALSE)</f>
        <v>2028</v>
      </c>
      <c r="O1429" t="str">
        <f>VLOOKUP(C1429,Customers!$A:$F,5,FALSE)</f>
        <v>Retail</v>
      </c>
      <c r="P1429">
        <f>VLOOKUP(C1429,Customers!$A:$F,3,FALSE)</f>
        <v>36</v>
      </c>
      <c r="Q1429" t="str">
        <f>VLOOKUP(E1429,Sales_Reps!$A:$E,3,FALSE)</f>
        <v>South</v>
      </c>
      <c r="R1429" t="str">
        <f>VLOOKUP(E1429,Sales_Reps!$A:$E,2,FALSE)</f>
        <v>Manoj Patel</v>
      </c>
      <c r="S1429">
        <f t="shared" si="22"/>
        <v>0.29090909090909089</v>
      </c>
    </row>
    <row r="1430" spans="1:19" x14ac:dyDescent="0.3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  <c r="L1430" t="str">
        <f>VLOOKUP(D1430,Products!$A:$F,3,FALSE)</f>
        <v>Electronics</v>
      </c>
      <c r="M1430" t="b">
        <f>VLOOKUP(D1430,Products!$A:$F,6,FALSE)</f>
        <v>1</v>
      </c>
      <c r="N1430">
        <f>VLOOKUP(D1430,Products!$A:$F,4,FALSE)</f>
        <v>517</v>
      </c>
      <c r="O1430" t="str">
        <f>VLOOKUP(C1430,Customers!$A:$F,5,FALSE)</f>
        <v>Retail</v>
      </c>
      <c r="P1430">
        <f>VLOOKUP(C1430,Customers!$A:$F,3,FALSE)</f>
        <v>24</v>
      </c>
      <c r="Q1430" t="str">
        <f>VLOOKUP(E1430,Sales_Reps!$A:$E,3,FALSE)</f>
        <v>East</v>
      </c>
      <c r="R1430" t="str">
        <f>VLOOKUP(E1430,Sales_Reps!$A:$E,2,FALSE)</f>
        <v>Naveen Singh</v>
      </c>
      <c r="S1430">
        <f t="shared" si="22"/>
        <v>0.57622950819672136</v>
      </c>
    </row>
    <row r="1431" spans="1:19" x14ac:dyDescent="0.3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  <c r="L1431" t="str">
        <f>VLOOKUP(D1431,Products!$A:$F,3,FALSE)</f>
        <v>Grocery</v>
      </c>
      <c r="M1431" t="b">
        <f>VLOOKUP(D1431,Products!$A:$F,6,FALSE)</f>
        <v>1</v>
      </c>
      <c r="N1431">
        <f>VLOOKUP(D1431,Products!$A:$F,4,FALSE)</f>
        <v>2436</v>
      </c>
      <c r="O1431" t="str">
        <f>VLOOKUP(C1431,Customers!$A:$F,5,FALSE)</f>
        <v>Retail</v>
      </c>
      <c r="P1431">
        <f>VLOOKUP(C1431,Customers!$A:$F,3,FALSE)</f>
        <v>27</v>
      </c>
      <c r="Q1431" t="str">
        <f>VLOOKUP(E1431,Sales_Reps!$A:$E,3,FALSE)</f>
        <v>South</v>
      </c>
      <c r="R1431" t="str">
        <f>VLOOKUP(E1431,Sales_Reps!$A:$E,2,FALSE)</f>
        <v>Divya Rao</v>
      </c>
      <c r="S1431">
        <f t="shared" si="22"/>
        <v>0.35555555555555557</v>
      </c>
    </row>
    <row r="1432" spans="1:19" x14ac:dyDescent="0.3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  <c r="L1432" t="str">
        <f>VLOOKUP(D1432,Products!$A:$F,3,FALSE)</f>
        <v>Home</v>
      </c>
      <c r="M1432" t="b">
        <f>VLOOKUP(D1432,Products!$A:$F,6,FALSE)</f>
        <v>1</v>
      </c>
      <c r="N1432">
        <f>VLOOKUP(D1432,Products!$A:$F,4,FALSE)</f>
        <v>2549</v>
      </c>
      <c r="O1432" t="str">
        <f>VLOOKUP(C1432,Customers!$A:$F,5,FALSE)</f>
        <v>Retail</v>
      </c>
      <c r="P1432">
        <f>VLOOKUP(C1432,Customers!$A:$F,3,FALSE)</f>
        <v>47</v>
      </c>
      <c r="Q1432" t="str">
        <f>VLOOKUP(E1432,Sales_Reps!$A:$E,3,FALSE)</f>
        <v>East</v>
      </c>
      <c r="R1432" t="str">
        <f>VLOOKUP(E1432,Sales_Reps!$A:$E,2,FALSE)</f>
        <v>Shalini Patel</v>
      </c>
      <c r="S1432">
        <f t="shared" si="22"/>
        <v>0.53570127504553733</v>
      </c>
    </row>
    <row r="1433" spans="1:19" x14ac:dyDescent="0.3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  <c r="L1433" t="str">
        <f>VLOOKUP(D1433,Products!$A:$F,3,FALSE)</f>
        <v>Grocery</v>
      </c>
      <c r="M1433" t="b">
        <f>VLOOKUP(D1433,Products!$A:$F,6,FALSE)</f>
        <v>1</v>
      </c>
      <c r="N1433">
        <f>VLOOKUP(D1433,Products!$A:$F,4,FALSE)</f>
        <v>1412</v>
      </c>
      <c r="O1433" t="str">
        <f>VLOOKUP(C1433,Customers!$A:$F,5,FALSE)</f>
        <v>Corporate</v>
      </c>
      <c r="P1433">
        <f>VLOOKUP(C1433,Customers!$A:$F,3,FALSE)</f>
        <v>54</v>
      </c>
      <c r="Q1433" t="str">
        <f>VLOOKUP(E1433,Sales_Reps!$A:$E,3,FALSE)</f>
        <v>West</v>
      </c>
      <c r="R1433" t="str">
        <f>VLOOKUP(E1433,Sales_Reps!$A:$E,2,FALSE)</f>
        <v>Arun Iyer</v>
      </c>
      <c r="S1433">
        <f t="shared" si="22"/>
        <v>0.37797356828193834</v>
      </c>
    </row>
    <row r="1434" spans="1:19" x14ac:dyDescent="0.3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  <c r="L1434" t="str">
        <f>VLOOKUP(D1434,Products!$A:$F,3,FALSE)</f>
        <v>Grocery</v>
      </c>
      <c r="M1434" t="b">
        <f>VLOOKUP(D1434,Products!$A:$F,6,FALSE)</f>
        <v>1</v>
      </c>
      <c r="N1434">
        <f>VLOOKUP(D1434,Products!$A:$F,4,FALSE)</f>
        <v>1010</v>
      </c>
      <c r="O1434" t="str">
        <f>VLOOKUP(C1434,Customers!$A:$F,5,FALSE)</f>
        <v>Corporate</v>
      </c>
      <c r="P1434">
        <f>VLOOKUP(C1434,Customers!$A:$F,3,FALSE)</f>
        <v>24</v>
      </c>
      <c r="Q1434" t="str">
        <f>VLOOKUP(E1434,Sales_Reps!$A:$E,3,FALSE)</f>
        <v>East</v>
      </c>
      <c r="R1434" t="str">
        <f>VLOOKUP(E1434,Sales_Reps!$A:$E,2,FALSE)</f>
        <v>Vinod Kumar</v>
      </c>
      <c r="S1434">
        <f t="shared" si="22"/>
        <v>0.54298642533936647</v>
      </c>
    </row>
    <row r="1435" spans="1:19" x14ac:dyDescent="0.3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  <c r="L1435" t="str">
        <f>VLOOKUP(D1435,Products!$A:$F,3,FALSE)</f>
        <v>Home</v>
      </c>
      <c r="M1435" t="b">
        <f>VLOOKUP(D1435,Products!$A:$F,6,FALSE)</f>
        <v>1</v>
      </c>
      <c r="N1435">
        <f>VLOOKUP(D1435,Products!$A:$F,4,FALSE)</f>
        <v>464</v>
      </c>
      <c r="O1435" t="e">
        <f>VLOOKUP(C1435,Customers!$A:$F,5,FALSE)</f>
        <v>#N/A</v>
      </c>
      <c r="P1435" t="e">
        <f>VLOOKUP(C1435,Customers!$A:$F,3,FALSE)</f>
        <v>#N/A</v>
      </c>
      <c r="Q1435" t="str">
        <f>VLOOKUP(E1435,Sales_Reps!$A:$E,3,FALSE)</f>
        <v>South</v>
      </c>
      <c r="R1435" t="str">
        <f>VLOOKUP(E1435,Sales_Reps!$A:$E,2,FALSE)</f>
        <v>Manoj Patel</v>
      </c>
      <c r="S1435">
        <f t="shared" si="22"/>
        <v>0.57431192660550456</v>
      </c>
    </row>
    <row r="1436" spans="1:19" x14ac:dyDescent="0.3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  <c r="L1436" t="str">
        <f>VLOOKUP(D1436,Products!$A:$F,3,FALSE)</f>
        <v>Apparel</v>
      </c>
      <c r="M1436" t="b">
        <f>VLOOKUP(D1436,Products!$A:$F,6,FALSE)</f>
        <v>1</v>
      </c>
      <c r="N1436">
        <f>VLOOKUP(D1436,Products!$A:$F,4,FALSE)</f>
        <v>2629</v>
      </c>
      <c r="O1436" t="str">
        <f>VLOOKUP(C1436,Customers!$A:$F,5,FALSE)</f>
        <v>Corporate</v>
      </c>
      <c r="P1436">
        <f>VLOOKUP(C1436,Customers!$A:$F,3,FALSE)</f>
        <v>41</v>
      </c>
      <c r="Q1436" t="str">
        <f>VLOOKUP(E1436,Sales_Reps!$A:$E,3,FALSE)</f>
        <v>North</v>
      </c>
      <c r="R1436" t="str">
        <f>VLOOKUP(E1436,Sales_Reps!$A:$E,2,FALSE)</f>
        <v>Sunita Malhotra</v>
      </c>
      <c r="S1436">
        <f t="shared" si="22"/>
        <v>0.26151685393258428</v>
      </c>
    </row>
    <row r="1437" spans="1:19" x14ac:dyDescent="0.3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  <c r="L1437" t="str">
        <f>VLOOKUP(D1437,Products!$A:$F,3,FALSE)</f>
        <v>Sports</v>
      </c>
      <c r="M1437" t="b">
        <f>VLOOKUP(D1437,Products!$A:$F,6,FALSE)</f>
        <v>1</v>
      </c>
      <c r="N1437">
        <f>VLOOKUP(D1437,Products!$A:$F,4,FALSE)</f>
        <v>516</v>
      </c>
      <c r="O1437" t="str">
        <f>VLOOKUP(C1437,Customers!$A:$F,5,FALSE)</f>
        <v>Retail</v>
      </c>
      <c r="P1437">
        <f>VLOOKUP(C1437,Customers!$A:$F,3,FALSE)</f>
        <v>39</v>
      </c>
      <c r="Q1437" t="str">
        <f>VLOOKUP(E1437,Sales_Reps!$A:$E,3,FALSE)</f>
        <v>West</v>
      </c>
      <c r="R1437" t="str">
        <f>VLOOKUP(E1437,Sales_Reps!$A:$E,2,FALSE)</f>
        <v>Preeti Shah</v>
      </c>
      <c r="S1437">
        <f t="shared" si="22"/>
        <v>0.4891089108910891</v>
      </c>
    </row>
    <row r="1438" spans="1:19" x14ac:dyDescent="0.3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  <c r="L1438" t="str">
        <f>VLOOKUP(D1438,Products!$A:$F,3,FALSE)</f>
        <v>Home</v>
      </c>
      <c r="M1438" t="b">
        <f>VLOOKUP(D1438,Products!$A:$F,6,FALSE)</f>
        <v>1</v>
      </c>
      <c r="N1438">
        <f>VLOOKUP(D1438,Products!$A:$F,4,FALSE)</f>
        <v>1143</v>
      </c>
      <c r="O1438" t="str">
        <f>VLOOKUP(C1438,Customers!$A:$F,5,FALSE)</f>
        <v>Corporate</v>
      </c>
      <c r="P1438">
        <f>VLOOKUP(C1438,Customers!$A:$F,3,FALSE)</f>
        <v>51</v>
      </c>
      <c r="Q1438" t="str">
        <f>VLOOKUP(E1438,Sales_Reps!$A:$E,3,FALSE)</f>
        <v>South</v>
      </c>
      <c r="R1438" t="str">
        <f>VLOOKUP(E1438,Sales_Reps!$A:$E,2,FALSE)</f>
        <v>Deepak Shah</v>
      </c>
      <c r="S1438">
        <f t="shared" si="22"/>
        <v>0.43694581280788175</v>
      </c>
    </row>
    <row r="1439" spans="1:19" x14ac:dyDescent="0.3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  <c r="L1439" t="str">
        <f>VLOOKUP(D1439,Products!$A:$F,3,FALSE)</f>
        <v>Electronics</v>
      </c>
      <c r="M1439" t="b">
        <f>VLOOKUP(D1439,Products!$A:$F,6,FALSE)</f>
        <v>1</v>
      </c>
      <c r="N1439">
        <f>VLOOKUP(D1439,Products!$A:$F,4,FALSE)</f>
        <v>2405</v>
      </c>
      <c r="O1439" t="str">
        <f>VLOOKUP(C1439,Customers!$A:$F,5,FALSE)</f>
        <v>Retail</v>
      </c>
      <c r="P1439">
        <f>VLOOKUP(C1439,Customers!$A:$F,3,FALSE)</f>
        <v>41</v>
      </c>
      <c r="Q1439" t="str">
        <f>VLOOKUP(E1439,Sales_Reps!$A:$E,3,FALSE)</f>
        <v>South</v>
      </c>
      <c r="R1439" t="str">
        <f>VLOOKUP(E1439,Sales_Reps!$A:$E,2,FALSE)</f>
        <v>Pooja Nair</v>
      </c>
      <c r="S1439">
        <f t="shared" si="22"/>
        <v>0.54878048780487809</v>
      </c>
    </row>
    <row r="1440" spans="1:19" x14ac:dyDescent="0.3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  <c r="L1440" t="str">
        <f>VLOOKUP(D1440,Products!$A:$F,3,FALSE)</f>
        <v>Electronics</v>
      </c>
      <c r="M1440" t="b">
        <f>VLOOKUP(D1440,Products!$A:$F,6,FALSE)</f>
        <v>1</v>
      </c>
      <c r="N1440">
        <f>VLOOKUP(D1440,Products!$A:$F,4,FALSE)</f>
        <v>1149</v>
      </c>
      <c r="O1440" t="str">
        <f>VLOOKUP(C1440,Customers!$A:$F,5,FALSE)</f>
        <v>Retail</v>
      </c>
      <c r="P1440">
        <f>VLOOKUP(C1440,Customers!$A:$F,3,FALSE)</f>
        <v>42</v>
      </c>
      <c r="Q1440" t="str">
        <f>VLOOKUP(E1440,Sales_Reps!$A:$E,3,FALSE)</f>
        <v>North</v>
      </c>
      <c r="R1440" t="str">
        <f>VLOOKUP(E1440,Sales_Reps!$A:$E,2,FALSE)</f>
        <v>Suresh Menon</v>
      </c>
      <c r="S1440">
        <f t="shared" si="22"/>
        <v>0.56477272727272732</v>
      </c>
    </row>
    <row r="1441" spans="1:19" x14ac:dyDescent="0.3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  <c r="L1441" t="str">
        <f>VLOOKUP(D1441,Products!$A:$F,3,FALSE)</f>
        <v>Electronics</v>
      </c>
      <c r="M1441" t="b">
        <f>VLOOKUP(D1441,Products!$A:$F,6,FALSE)</f>
        <v>0</v>
      </c>
      <c r="N1441">
        <f>VLOOKUP(D1441,Products!$A:$F,4,FALSE)</f>
        <v>1259</v>
      </c>
      <c r="O1441" t="str">
        <f>VLOOKUP(C1441,Customers!$A:$F,5,FALSE)</f>
        <v>SMB</v>
      </c>
      <c r="P1441">
        <f>VLOOKUP(C1441,Customers!$A:$F,3,FALSE)</f>
        <v>22</v>
      </c>
      <c r="Q1441" t="str">
        <f>VLOOKUP(E1441,Sales_Reps!$A:$E,3,FALSE)</f>
        <v>South</v>
      </c>
      <c r="R1441" t="str">
        <f>VLOOKUP(E1441,Sales_Reps!$A:$E,2,FALSE)</f>
        <v>Pooja Nair</v>
      </c>
      <c r="S1441">
        <f t="shared" si="22"/>
        <v>0.52669172932330832</v>
      </c>
    </row>
    <row r="1442" spans="1:19" x14ac:dyDescent="0.3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  <c r="L1442" t="str">
        <f>VLOOKUP(D1442,Products!$A:$F,3,FALSE)</f>
        <v>Home</v>
      </c>
      <c r="M1442" t="b">
        <f>VLOOKUP(D1442,Products!$A:$F,6,FALSE)</f>
        <v>1</v>
      </c>
      <c r="N1442">
        <f>VLOOKUP(D1442,Products!$A:$F,4,FALSE)</f>
        <v>1556</v>
      </c>
      <c r="O1442" t="str">
        <f>VLOOKUP(C1442,Customers!$A:$F,5,FALSE)</f>
        <v>SMB</v>
      </c>
      <c r="P1442">
        <f>VLOOKUP(C1442,Customers!$A:$F,3,FALSE)</f>
        <v>53</v>
      </c>
      <c r="Q1442" t="str">
        <f>VLOOKUP(E1442,Sales_Reps!$A:$E,3,FALSE)</f>
        <v>East</v>
      </c>
      <c r="R1442" t="str">
        <f>VLOOKUP(E1442,Sales_Reps!$A:$E,2,FALSE)</f>
        <v>Vinod Kumar</v>
      </c>
      <c r="S1442">
        <f t="shared" si="22"/>
        <v>0.52123076923076928</v>
      </c>
    </row>
    <row r="1443" spans="1:19" x14ac:dyDescent="0.3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  <c r="L1443" t="str">
        <f>VLOOKUP(D1443,Products!$A:$F,3,FALSE)</f>
        <v>Grocery</v>
      </c>
      <c r="M1443" t="b">
        <f>VLOOKUP(D1443,Products!$A:$F,6,FALSE)</f>
        <v>1</v>
      </c>
      <c r="N1443">
        <f>VLOOKUP(D1443,Products!$A:$F,4,FALSE)</f>
        <v>1010</v>
      </c>
      <c r="O1443" t="str">
        <f>VLOOKUP(C1443,Customers!$A:$F,5,FALSE)</f>
        <v>Retail</v>
      </c>
      <c r="P1443">
        <f>VLOOKUP(C1443,Customers!$A:$F,3,FALSE)</f>
        <v>25</v>
      </c>
      <c r="Q1443" t="str">
        <f>VLOOKUP(E1443,Sales_Reps!$A:$E,3,FALSE)</f>
        <v>North</v>
      </c>
      <c r="R1443" t="str">
        <f>VLOOKUP(E1443,Sales_Reps!$A:$E,2,FALSE)</f>
        <v>Priya Singh</v>
      </c>
      <c r="S1443">
        <f t="shared" si="22"/>
        <v>0.54298642533936647</v>
      </c>
    </row>
    <row r="1444" spans="1:19" x14ac:dyDescent="0.3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  <c r="L1444" t="str">
        <f>VLOOKUP(D1444,Products!$A:$F,3,FALSE)</f>
        <v>Home</v>
      </c>
      <c r="M1444" t="b">
        <f>VLOOKUP(D1444,Products!$A:$F,6,FALSE)</f>
        <v>1</v>
      </c>
      <c r="N1444">
        <f>VLOOKUP(D1444,Products!$A:$F,4,FALSE)</f>
        <v>288</v>
      </c>
      <c r="O1444" t="str">
        <f>VLOOKUP(C1444,Customers!$A:$F,5,FALSE)</f>
        <v>Retail</v>
      </c>
      <c r="P1444">
        <f>VLOOKUP(C1444,Customers!$A:$F,3,FALSE)</f>
        <v>57</v>
      </c>
      <c r="Q1444" t="str">
        <f>VLOOKUP(E1444,Sales_Reps!$A:$E,3,FALSE)</f>
        <v>East</v>
      </c>
      <c r="R1444" t="str">
        <f>VLOOKUP(E1444,Sales_Reps!$A:$E,2,FALSE)</f>
        <v>Prakash Shah</v>
      </c>
      <c r="S1444">
        <f t="shared" si="22"/>
        <v>0.22162162162162163</v>
      </c>
    </row>
    <row r="1445" spans="1:19" x14ac:dyDescent="0.3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  <c r="L1445" t="str">
        <f>VLOOKUP(D1445,Products!$A:$F,3,FALSE)</f>
        <v>Sports</v>
      </c>
      <c r="M1445" t="b">
        <f>VLOOKUP(D1445,Products!$A:$F,6,FALSE)</f>
        <v>1</v>
      </c>
      <c r="N1445">
        <f>VLOOKUP(D1445,Products!$A:$F,4,FALSE)</f>
        <v>1860</v>
      </c>
      <c r="O1445" t="str">
        <f>VLOOKUP(C1445,Customers!$A:$F,5,FALSE)</f>
        <v>Retail</v>
      </c>
      <c r="P1445">
        <f>VLOOKUP(C1445,Customers!$A:$F,3,FALSE)</f>
        <v>24</v>
      </c>
      <c r="Q1445" t="str">
        <f>VLOOKUP(E1445,Sales_Reps!$A:$E,3,FALSE)</f>
        <v>East</v>
      </c>
      <c r="R1445" t="str">
        <f>VLOOKUP(E1445,Sales_Reps!$A:$E,2,FALSE)</f>
        <v>Nisha Menon</v>
      </c>
      <c r="S1445">
        <f t="shared" si="22"/>
        <v>0.50793650793650791</v>
      </c>
    </row>
    <row r="1446" spans="1:19" x14ac:dyDescent="0.3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  <c r="L1446" t="str">
        <f>VLOOKUP(D1446,Products!$A:$F,3,FALSE)</f>
        <v>Sports</v>
      </c>
      <c r="M1446" t="b">
        <f>VLOOKUP(D1446,Products!$A:$F,6,FALSE)</f>
        <v>1</v>
      </c>
      <c r="N1446">
        <f>VLOOKUP(D1446,Products!$A:$F,4,FALSE)</f>
        <v>516</v>
      </c>
      <c r="O1446" t="str">
        <f>VLOOKUP(C1446,Customers!$A:$F,5,FALSE)</f>
        <v>Retail</v>
      </c>
      <c r="P1446">
        <f>VLOOKUP(C1446,Customers!$A:$F,3,FALSE)</f>
        <v>22</v>
      </c>
      <c r="Q1446" t="str">
        <f>VLOOKUP(E1446,Sales_Reps!$A:$E,3,FALSE)</f>
        <v>North</v>
      </c>
      <c r="R1446" t="str">
        <f>VLOOKUP(E1446,Sales_Reps!$A:$E,2,FALSE)</f>
        <v>Sunita Malhotra</v>
      </c>
      <c r="S1446">
        <f t="shared" si="22"/>
        <v>0.4891089108910891</v>
      </c>
    </row>
    <row r="1447" spans="1:19" x14ac:dyDescent="0.3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  <c r="L1447" t="str">
        <f>VLOOKUP(D1447,Products!$A:$F,3,FALSE)</f>
        <v>Apparel</v>
      </c>
      <c r="M1447" t="b">
        <f>VLOOKUP(D1447,Products!$A:$F,6,FALSE)</f>
        <v>1</v>
      </c>
      <c r="N1447">
        <f>VLOOKUP(D1447,Products!$A:$F,4,FALSE)</f>
        <v>391</v>
      </c>
      <c r="O1447" t="str">
        <f>VLOOKUP(C1447,Customers!$A:$F,5,FALSE)</f>
        <v>Retail</v>
      </c>
      <c r="P1447">
        <f>VLOOKUP(C1447,Customers!$A:$F,3,FALSE)</f>
        <v>61</v>
      </c>
      <c r="Q1447" t="str">
        <f>VLOOKUP(E1447,Sales_Reps!$A:$E,3,FALSE)</f>
        <v>South</v>
      </c>
      <c r="R1447" t="str">
        <f>VLOOKUP(E1447,Sales_Reps!$A:$E,2,FALSE)</f>
        <v>Pooja Nair</v>
      </c>
      <c r="S1447">
        <f t="shared" si="22"/>
        <v>0.52317073170731709</v>
      </c>
    </row>
    <row r="1448" spans="1:19" x14ac:dyDescent="0.3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  <c r="L1448" t="str">
        <f>VLOOKUP(D1448,Products!$A:$F,3,FALSE)</f>
        <v>Grocery</v>
      </c>
      <c r="M1448" t="b">
        <f>VLOOKUP(D1448,Products!$A:$F,6,FALSE)</f>
        <v>0</v>
      </c>
      <c r="N1448">
        <f>VLOOKUP(D1448,Products!$A:$F,4,FALSE)</f>
        <v>2214</v>
      </c>
      <c r="O1448" t="str">
        <f>VLOOKUP(C1448,Customers!$A:$F,5,FALSE)</f>
        <v>SMB</v>
      </c>
      <c r="P1448">
        <f>VLOOKUP(C1448,Customers!$A:$F,3,FALSE)</f>
        <v>29</v>
      </c>
      <c r="Q1448" t="str">
        <f>VLOOKUP(E1448,Sales_Reps!$A:$E,3,FALSE)</f>
        <v>South</v>
      </c>
      <c r="R1448" t="str">
        <f>VLOOKUP(E1448,Sales_Reps!$A:$E,2,FALSE)</f>
        <v>Pooja Nair</v>
      </c>
      <c r="S1448">
        <f t="shared" si="22"/>
        <v>0.39508196721311473</v>
      </c>
    </row>
    <row r="1449" spans="1:19" x14ac:dyDescent="0.3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  <c r="L1449" t="str">
        <f>VLOOKUP(D1449,Products!$A:$F,3,FALSE)</f>
        <v>Grocery</v>
      </c>
      <c r="M1449" t="b">
        <f>VLOOKUP(D1449,Products!$A:$F,6,FALSE)</f>
        <v>1</v>
      </c>
      <c r="N1449">
        <f>VLOOKUP(D1449,Products!$A:$F,4,FALSE)</f>
        <v>1412</v>
      </c>
      <c r="O1449" t="str">
        <f>VLOOKUP(C1449,Customers!$A:$F,5,FALSE)</f>
        <v>Retail</v>
      </c>
      <c r="P1449">
        <f>VLOOKUP(C1449,Customers!$A:$F,3,FALSE)</f>
        <v>37</v>
      </c>
      <c r="Q1449" t="str">
        <f>VLOOKUP(E1449,Sales_Reps!$A:$E,3,FALSE)</f>
        <v>East</v>
      </c>
      <c r="R1449" t="str">
        <f>VLOOKUP(E1449,Sales_Reps!$A:$E,2,FALSE)</f>
        <v>Naveen Singh</v>
      </c>
      <c r="S1449">
        <f t="shared" si="22"/>
        <v>0.37797356828193834</v>
      </c>
    </row>
    <row r="1450" spans="1:19" x14ac:dyDescent="0.3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  <c r="L1450" t="str">
        <f>VLOOKUP(D1450,Products!$A:$F,3,FALSE)</f>
        <v>Beauty</v>
      </c>
      <c r="M1450" t="b">
        <f>VLOOKUP(D1450,Products!$A:$F,6,FALSE)</f>
        <v>1</v>
      </c>
      <c r="N1450">
        <f>VLOOKUP(D1450,Products!$A:$F,4,FALSE)</f>
        <v>675</v>
      </c>
      <c r="O1450" t="str">
        <f>VLOOKUP(C1450,Customers!$A:$F,5,FALSE)</f>
        <v>Retail</v>
      </c>
      <c r="P1450">
        <f>VLOOKUP(C1450,Customers!$A:$F,3,FALSE)</f>
        <v>41</v>
      </c>
      <c r="Q1450" t="str">
        <f>VLOOKUP(E1450,Sales_Reps!$A:$E,3,FALSE)</f>
        <v>East</v>
      </c>
      <c r="R1450" t="str">
        <f>VLOOKUP(E1450,Sales_Reps!$A:$E,2,FALSE)</f>
        <v>Prakash Shah</v>
      </c>
      <c r="S1450">
        <f t="shared" si="22"/>
        <v>0.296875</v>
      </c>
    </row>
    <row r="1451" spans="1:19" x14ac:dyDescent="0.3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  <c r="L1451" t="str">
        <f>VLOOKUP(D1451,Products!$A:$F,3,FALSE)</f>
        <v>Home</v>
      </c>
      <c r="M1451" t="b">
        <f>VLOOKUP(D1451,Products!$A:$F,6,FALSE)</f>
        <v>1</v>
      </c>
      <c r="N1451">
        <f>VLOOKUP(D1451,Products!$A:$F,4,FALSE)</f>
        <v>1143</v>
      </c>
      <c r="O1451" t="str">
        <f>VLOOKUP(C1451,Customers!$A:$F,5,FALSE)</f>
        <v>SMB</v>
      </c>
      <c r="P1451">
        <f>VLOOKUP(C1451,Customers!$A:$F,3,FALSE)</f>
        <v>53</v>
      </c>
      <c r="Q1451" t="str">
        <f>VLOOKUP(E1451,Sales_Reps!$A:$E,3,FALSE)</f>
        <v>West</v>
      </c>
      <c r="R1451" t="str">
        <f>VLOOKUP(E1451,Sales_Reps!$A:$E,2,FALSE)</f>
        <v>Ashok Reddy</v>
      </c>
      <c r="S1451">
        <f t="shared" si="22"/>
        <v>0.43694581280788175</v>
      </c>
    </row>
    <row r="1452" spans="1:19" x14ac:dyDescent="0.3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  <c r="L1452" t="str">
        <f>VLOOKUP(D1452,Products!$A:$F,3,FALSE)</f>
        <v>Grocery</v>
      </c>
      <c r="M1452" t="b">
        <f>VLOOKUP(D1452,Products!$A:$F,6,FALSE)</f>
        <v>1</v>
      </c>
      <c r="N1452">
        <f>VLOOKUP(D1452,Products!$A:$F,4,FALSE)</f>
        <v>1182</v>
      </c>
      <c r="O1452" t="str">
        <f>VLOOKUP(C1452,Customers!$A:$F,5,FALSE)</f>
        <v>SMB</v>
      </c>
      <c r="P1452">
        <f>VLOOKUP(C1452,Customers!$A:$F,3,FALSE)</f>
        <v>49</v>
      </c>
      <c r="Q1452" t="str">
        <f>VLOOKUP(E1452,Sales_Reps!$A:$E,3,FALSE)</f>
        <v>North</v>
      </c>
      <c r="R1452" t="str">
        <f>VLOOKUP(E1452,Sales_Reps!$A:$E,2,FALSE)</f>
        <v>Vikram Patel</v>
      </c>
      <c r="S1452">
        <f t="shared" si="22"/>
        <v>0.50336134453781511</v>
      </c>
    </row>
    <row r="1453" spans="1:19" x14ac:dyDescent="0.3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  <c r="L1453" t="str">
        <f>VLOOKUP(D1453,Products!$A:$F,3,FALSE)</f>
        <v>Beauty</v>
      </c>
      <c r="M1453" t="b">
        <f>VLOOKUP(D1453,Products!$A:$F,6,FALSE)</f>
        <v>1</v>
      </c>
      <c r="N1453">
        <f>VLOOKUP(D1453,Products!$A:$F,4,FALSE)</f>
        <v>2420</v>
      </c>
      <c r="O1453" t="str">
        <f>VLOOKUP(C1453,Customers!$A:$F,5,FALSE)</f>
        <v>SMB</v>
      </c>
      <c r="P1453">
        <f>VLOOKUP(C1453,Customers!$A:$F,3,FALSE)</f>
        <v>51</v>
      </c>
      <c r="Q1453" t="str">
        <f>VLOOKUP(E1453,Sales_Reps!$A:$E,3,FALSE)</f>
        <v>South</v>
      </c>
      <c r="R1453" t="str">
        <f>VLOOKUP(E1453,Sales_Reps!$A:$E,2,FALSE)</f>
        <v>Manoj Patel</v>
      </c>
      <c r="S1453">
        <f t="shared" si="22"/>
        <v>0.29855072463768118</v>
      </c>
    </row>
    <row r="1454" spans="1:19" x14ac:dyDescent="0.3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  <c r="L1454" t="str">
        <f>VLOOKUP(D1454,Products!$A:$F,3,FALSE)</f>
        <v>Beauty</v>
      </c>
      <c r="M1454" t="b">
        <f>VLOOKUP(D1454,Products!$A:$F,6,FALSE)</f>
        <v>1</v>
      </c>
      <c r="N1454">
        <f>VLOOKUP(D1454,Products!$A:$F,4,FALSE)</f>
        <v>675</v>
      </c>
      <c r="O1454" t="str">
        <f>VLOOKUP(C1454,Customers!$A:$F,5,FALSE)</f>
        <v>Retail</v>
      </c>
      <c r="P1454">
        <f>VLOOKUP(C1454,Customers!$A:$F,3,FALSE)</f>
        <v>53</v>
      </c>
      <c r="Q1454" t="str">
        <f>VLOOKUP(E1454,Sales_Reps!$A:$E,3,FALSE)</f>
        <v>East</v>
      </c>
      <c r="R1454" t="str">
        <f>VLOOKUP(E1454,Sales_Reps!$A:$E,2,FALSE)</f>
        <v>Gaurav Desai</v>
      </c>
      <c r="S1454">
        <f t="shared" si="22"/>
        <v>0.296875</v>
      </c>
    </row>
    <row r="1455" spans="1:19" x14ac:dyDescent="0.3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  <c r="L1455" t="str">
        <f>VLOOKUP(D1455,Products!$A:$F,3,FALSE)</f>
        <v>Apparel</v>
      </c>
      <c r="M1455" t="b">
        <f>VLOOKUP(D1455,Products!$A:$F,6,FALSE)</f>
        <v>1</v>
      </c>
      <c r="N1455">
        <f>VLOOKUP(D1455,Products!$A:$F,4,FALSE)</f>
        <v>2629</v>
      </c>
      <c r="O1455" t="str">
        <f>VLOOKUP(C1455,Customers!$A:$F,5,FALSE)</f>
        <v>Retail</v>
      </c>
      <c r="P1455">
        <f>VLOOKUP(C1455,Customers!$A:$F,3,FALSE)</f>
        <v>63</v>
      </c>
      <c r="Q1455" t="str">
        <f>VLOOKUP(E1455,Sales_Reps!$A:$E,3,FALSE)</f>
        <v>South</v>
      </c>
      <c r="R1455" t="str">
        <f>VLOOKUP(E1455,Sales_Reps!$A:$E,2,FALSE)</f>
        <v>Sanjay Kapoor</v>
      </c>
      <c r="S1455">
        <f t="shared" si="22"/>
        <v>0.26151685393258428</v>
      </c>
    </row>
    <row r="1456" spans="1:19" x14ac:dyDescent="0.3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  <c r="L1456" t="str">
        <f>VLOOKUP(D1456,Products!$A:$F,3,FALSE)</f>
        <v>Apparel</v>
      </c>
      <c r="M1456" t="b">
        <f>VLOOKUP(D1456,Products!$A:$F,6,FALSE)</f>
        <v>1</v>
      </c>
      <c r="N1456">
        <f>VLOOKUP(D1456,Products!$A:$F,4,FALSE)</f>
        <v>1962</v>
      </c>
      <c r="O1456" t="str">
        <f>VLOOKUP(C1456,Customers!$A:$F,5,FALSE)</f>
        <v>Retail</v>
      </c>
      <c r="P1456">
        <f>VLOOKUP(C1456,Customers!$A:$F,3,FALSE)</f>
        <v>53</v>
      </c>
      <c r="Q1456" t="str">
        <f>VLOOKUP(E1456,Sales_Reps!$A:$E,3,FALSE)</f>
        <v>South</v>
      </c>
      <c r="R1456" t="str">
        <f>VLOOKUP(E1456,Sales_Reps!$A:$E,2,FALSE)</f>
        <v>Ritu Menon</v>
      </c>
      <c r="S1456">
        <f t="shared" si="22"/>
        <v>0.2786764705882353</v>
      </c>
    </row>
    <row r="1457" spans="1:19" x14ac:dyDescent="0.3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  <c r="L1457" t="str">
        <f>VLOOKUP(D1457,Products!$A:$F,3,FALSE)</f>
        <v>Electronics</v>
      </c>
      <c r="M1457" t="b">
        <f>VLOOKUP(D1457,Products!$A:$F,6,FALSE)</f>
        <v>1</v>
      </c>
      <c r="N1457">
        <f>VLOOKUP(D1457,Products!$A:$F,4,FALSE)</f>
        <v>517</v>
      </c>
      <c r="O1457" t="str">
        <f>VLOOKUP(C1457,Customers!$A:$F,5,FALSE)</f>
        <v>SMB</v>
      </c>
      <c r="P1457">
        <f>VLOOKUP(C1457,Customers!$A:$F,3,FALSE)</f>
        <v>29</v>
      </c>
      <c r="Q1457" t="str">
        <f>VLOOKUP(E1457,Sales_Reps!$A:$E,3,FALSE)</f>
        <v>West</v>
      </c>
      <c r="R1457" t="str">
        <f>VLOOKUP(E1457,Sales_Reps!$A:$E,2,FALSE)</f>
        <v>Arun Iyer</v>
      </c>
      <c r="S1457">
        <f t="shared" si="22"/>
        <v>0.57622950819672136</v>
      </c>
    </row>
    <row r="1458" spans="1:19" x14ac:dyDescent="0.3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  <c r="L1458" t="str">
        <f>VLOOKUP(D1458,Products!$A:$F,3,FALSE)</f>
        <v>Home</v>
      </c>
      <c r="M1458" t="b">
        <f>VLOOKUP(D1458,Products!$A:$F,6,FALSE)</f>
        <v>1</v>
      </c>
      <c r="N1458">
        <f>VLOOKUP(D1458,Products!$A:$F,4,FALSE)</f>
        <v>464</v>
      </c>
      <c r="O1458" t="str">
        <f>VLOOKUP(C1458,Customers!$A:$F,5,FALSE)</f>
        <v>Retail</v>
      </c>
      <c r="P1458">
        <f>VLOOKUP(C1458,Customers!$A:$F,3,FALSE)</f>
        <v>27</v>
      </c>
      <c r="Q1458" t="str">
        <f>VLOOKUP(E1458,Sales_Reps!$A:$E,3,FALSE)</f>
        <v>West</v>
      </c>
      <c r="R1458" t="str">
        <f>VLOOKUP(E1458,Sales_Reps!$A:$E,2,FALSE)</f>
        <v>Sonia Malhotra</v>
      </c>
      <c r="S1458">
        <f t="shared" si="22"/>
        <v>0.57431192660550456</v>
      </c>
    </row>
    <row r="1459" spans="1:19" x14ac:dyDescent="0.3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  <c r="L1459" t="str">
        <f>VLOOKUP(D1459,Products!$A:$F,3,FALSE)</f>
        <v>Home</v>
      </c>
      <c r="M1459" t="b">
        <f>VLOOKUP(D1459,Products!$A:$F,6,FALSE)</f>
        <v>1</v>
      </c>
      <c r="N1459">
        <f>VLOOKUP(D1459,Products!$A:$F,4,FALSE)</f>
        <v>288</v>
      </c>
      <c r="O1459" t="str">
        <f>VLOOKUP(C1459,Customers!$A:$F,5,FALSE)</f>
        <v>SMB</v>
      </c>
      <c r="P1459">
        <f>VLOOKUP(C1459,Customers!$A:$F,3,FALSE)</f>
        <v>54</v>
      </c>
      <c r="Q1459" t="str">
        <f>VLOOKUP(E1459,Sales_Reps!$A:$E,3,FALSE)</f>
        <v>West</v>
      </c>
      <c r="R1459" t="str">
        <f>VLOOKUP(E1459,Sales_Reps!$A:$E,2,FALSE)</f>
        <v>Arun Iyer</v>
      </c>
      <c r="S1459">
        <f t="shared" si="22"/>
        <v>0.22162162162162163</v>
      </c>
    </row>
    <row r="1460" spans="1:19" x14ac:dyDescent="0.3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  <c r="L1460" t="str">
        <f>VLOOKUP(D1460,Products!$A:$F,3,FALSE)</f>
        <v>Sports</v>
      </c>
      <c r="M1460" t="b">
        <f>VLOOKUP(D1460,Products!$A:$F,6,FALSE)</f>
        <v>1</v>
      </c>
      <c r="N1460">
        <f>VLOOKUP(D1460,Products!$A:$F,4,FALSE)</f>
        <v>2028</v>
      </c>
      <c r="O1460" t="str">
        <f>VLOOKUP(C1460,Customers!$A:$F,5,FALSE)</f>
        <v>SMB</v>
      </c>
      <c r="P1460">
        <f>VLOOKUP(C1460,Customers!$A:$F,3,FALSE)</f>
        <v>43</v>
      </c>
      <c r="Q1460" t="str">
        <f>VLOOKUP(E1460,Sales_Reps!$A:$E,3,FALSE)</f>
        <v>North</v>
      </c>
      <c r="R1460" t="str">
        <f>VLOOKUP(E1460,Sales_Reps!$A:$E,2,FALSE)</f>
        <v>Suresh Menon</v>
      </c>
      <c r="S1460">
        <f t="shared" si="22"/>
        <v>0.29090909090909089</v>
      </c>
    </row>
    <row r="1461" spans="1:19" x14ac:dyDescent="0.3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  <c r="L1461" t="str">
        <f>VLOOKUP(D1461,Products!$A:$F,3,FALSE)</f>
        <v>Grocery</v>
      </c>
      <c r="M1461" t="b">
        <f>VLOOKUP(D1461,Products!$A:$F,6,FALSE)</f>
        <v>1</v>
      </c>
      <c r="N1461">
        <f>VLOOKUP(D1461,Products!$A:$F,4,FALSE)</f>
        <v>1010</v>
      </c>
      <c r="O1461" t="str">
        <f>VLOOKUP(C1461,Customers!$A:$F,5,FALSE)</f>
        <v>Corporate</v>
      </c>
      <c r="P1461">
        <f>VLOOKUP(C1461,Customers!$A:$F,3,FALSE)</f>
        <v>26</v>
      </c>
      <c r="Q1461" t="str">
        <f>VLOOKUP(E1461,Sales_Reps!$A:$E,3,FALSE)</f>
        <v>West</v>
      </c>
      <c r="R1461" t="str">
        <f>VLOOKUP(E1461,Sales_Reps!$A:$E,2,FALSE)</f>
        <v>Sonia Malhotra</v>
      </c>
      <c r="S1461">
        <f t="shared" si="22"/>
        <v>0.54298642533936647</v>
      </c>
    </row>
    <row r="1462" spans="1:19" x14ac:dyDescent="0.3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  <c r="L1462" t="str">
        <f>VLOOKUP(D1462,Products!$A:$F,3,FALSE)</f>
        <v>Grocery</v>
      </c>
      <c r="M1462" t="b">
        <f>VLOOKUP(D1462,Products!$A:$F,6,FALSE)</f>
        <v>1</v>
      </c>
      <c r="N1462">
        <f>VLOOKUP(D1462,Products!$A:$F,4,FALSE)</f>
        <v>434</v>
      </c>
      <c r="O1462" t="str">
        <f>VLOOKUP(C1462,Customers!$A:$F,5,FALSE)</f>
        <v>SMB</v>
      </c>
      <c r="P1462">
        <f>VLOOKUP(C1462,Customers!$A:$F,3,FALSE)</f>
        <v>24</v>
      </c>
      <c r="Q1462" t="str">
        <f>VLOOKUP(E1462,Sales_Reps!$A:$E,3,FALSE)</f>
        <v>West</v>
      </c>
      <c r="R1462" t="str">
        <f>VLOOKUP(E1462,Sales_Reps!$A:$E,2,FALSE)</f>
        <v>Ashok Reddy</v>
      </c>
      <c r="S1462">
        <f t="shared" si="22"/>
        <v>0.5525773195876289</v>
      </c>
    </row>
    <row r="1463" spans="1:19" x14ac:dyDescent="0.3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  <c r="L1463" t="str">
        <f>VLOOKUP(D1463,Products!$A:$F,3,FALSE)</f>
        <v>Apparel</v>
      </c>
      <c r="M1463" t="b">
        <f>VLOOKUP(D1463,Products!$A:$F,6,FALSE)</f>
        <v>1</v>
      </c>
      <c r="N1463">
        <f>VLOOKUP(D1463,Products!$A:$F,4,FALSE)</f>
        <v>2629</v>
      </c>
      <c r="O1463" t="str">
        <f>VLOOKUP(C1463,Customers!$A:$F,5,FALSE)</f>
        <v>Retail</v>
      </c>
      <c r="P1463">
        <f>VLOOKUP(C1463,Customers!$A:$F,3,FALSE)</f>
        <v>27</v>
      </c>
      <c r="Q1463" t="str">
        <f>VLOOKUP(E1463,Sales_Reps!$A:$E,3,FALSE)</f>
        <v>East</v>
      </c>
      <c r="R1463" t="str">
        <f>VLOOKUP(E1463,Sales_Reps!$A:$E,2,FALSE)</f>
        <v>Gaurav Desai</v>
      </c>
      <c r="S1463">
        <f t="shared" si="22"/>
        <v>0.26151685393258428</v>
      </c>
    </row>
    <row r="1464" spans="1:19" x14ac:dyDescent="0.3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  <c r="L1464" t="str">
        <f>VLOOKUP(D1464,Products!$A:$F,3,FALSE)</f>
        <v>Home</v>
      </c>
      <c r="M1464" t="b">
        <f>VLOOKUP(D1464,Products!$A:$F,6,FALSE)</f>
        <v>1</v>
      </c>
      <c r="N1464">
        <f>VLOOKUP(D1464,Products!$A:$F,4,FALSE)</f>
        <v>519</v>
      </c>
      <c r="O1464" t="str">
        <f>VLOOKUP(C1464,Customers!$A:$F,5,FALSE)</f>
        <v>Corporate</v>
      </c>
      <c r="P1464">
        <f>VLOOKUP(C1464,Customers!$A:$F,3,FALSE)</f>
        <v>56</v>
      </c>
      <c r="Q1464" t="str">
        <f>VLOOKUP(E1464,Sales_Reps!$A:$E,3,FALSE)</f>
        <v>East</v>
      </c>
      <c r="R1464" t="str">
        <f>VLOOKUP(E1464,Sales_Reps!$A:$E,2,FALSE)</f>
        <v>Vinod Kumar</v>
      </c>
      <c r="S1464">
        <f t="shared" si="22"/>
        <v>0.51944444444444449</v>
      </c>
    </row>
    <row r="1465" spans="1:19" x14ac:dyDescent="0.3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  <c r="L1465" t="str">
        <f>VLOOKUP(D1465,Products!$A:$F,3,FALSE)</f>
        <v>Electronics</v>
      </c>
      <c r="M1465" t="b">
        <f>VLOOKUP(D1465,Products!$A:$F,6,FALSE)</f>
        <v>1</v>
      </c>
      <c r="N1465">
        <f>VLOOKUP(D1465,Products!$A:$F,4,FALSE)</f>
        <v>517</v>
      </c>
      <c r="O1465" t="str">
        <f>VLOOKUP(C1465,Customers!$A:$F,5,FALSE)</f>
        <v>Retail</v>
      </c>
      <c r="P1465">
        <f>VLOOKUP(C1465,Customers!$A:$F,3,FALSE)</f>
        <v>59</v>
      </c>
      <c r="Q1465" t="str">
        <f>VLOOKUP(E1465,Sales_Reps!$A:$E,3,FALSE)</f>
        <v>South</v>
      </c>
      <c r="R1465" t="str">
        <f>VLOOKUP(E1465,Sales_Reps!$A:$E,2,FALSE)</f>
        <v>Anil Verma</v>
      </c>
      <c r="S1465">
        <f t="shared" si="22"/>
        <v>0.57622950819672136</v>
      </c>
    </row>
    <row r="1466" spans="1:19" x14ac:dyDescent="0.3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  <c r="L1466" t="str">
        <f>VLOOKUP(D1466,Products!$A:$F,3,FALSE)</f>
        <v>Home</v>
      </c>
      <c r="M1466" t="b">
        <f>VLOOKUP(D1466,Products!$A:$F,6,FALSE)</f>
        <v>1</v>
      </c>
      <c r="N1466">
        <f>VLOOKUP(D1466,Products!$A:$F,4,FALSE)</f>
        <v>2135</v>
      </c>
      <c r="O1466" t="e">
        <f>VLOOKUP(C1466,Customers!$A:$F,5,FALSE)</f>
        <v>#N/A</v>
      </c>
      <c r="P1466" t="e">
        <f>VLOOKUP(C1466,Customers!$A:$F,3,FALSE)</f>
        <v>#N/A</v>
      </c>
      <c r="Q1466" t="str">
        <f>VLOOKUP(E1466,Sales_Reps!$A:$E,3,FALSE)</f>
        <v>South</v>
      </c>
      <c r="R1466" t="str">
        <f>VLOOKUP(E1466,Sales_Reps!$A:$E,2,FALSE)</f>
        <v>Manoj Patel</v>
      </c>
      <c r="S1466">
        <f t="shared" si="22"/>
        <v>0.42761394101876676</v>
      </c>
    </row>
    <row r="1467" spans="1:19" x14ac:dyDescent="0.3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  <c r="L1467" t="str">
        <f>VLOOKUP(D1467,Products!$A:$F,3,FALSE)</f>
        <v>Electronics</v>
      </c>
      <c r="M1467" t="b">
        <f>VLOOKUP(D1467,Products!$A:$F,6,FALSE)</f>
        <v>1</v>
      </c>
      <c r="N1467">
        <f>VLOOKUP(D1467,Products!$A:$F,4,FALSE)</f>
        <v>861</v>
      </c>
      <c r="O1467" t="str">
        <f>VLOOKUP(C1467,Customers!$A:$F,5,FALSE)</f>
        <v>SMB</v>
      </c>
      <c r="P1467">
        <f>VLOOKUP(C1467,Customers!$A:$F,3,FALSE)</f>
        <v>52</v>
      </c>
      <c r="Q1467" t="str">
        <f>VLOOKUP(E1467,Sales_Reps!$A:$E,3,FALSE)</f>
        <v>North</v>
      </c>
      <c r="R1467" t="str">
        <f>VLOOKUP(E1467,Sales_Reps!$A:$E,2,FALSE)</f>
        <v>Rajesh Malhotra</v>
      </c>
      <c r="S1467">
        <f t="shared" si="22"/>
        <v>0.39790209790209791</v>
      </c>
    </row>
    <row r="1468" spans="1:19" x14ac:dyDescent="0.3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  <c r="L1468" t="str">
        <f>VLOOKUP(D1468,Products!$A:$F,3,FALSE)</f>
        <v>Beauty</v>
      </c>
      <c r="M1468" t="b">
        <f>VLOOKUP(D1468,Products!$A:$F,6,FALSE)</f>
        <v>1</v>
      </c>
      <c r="N1468">
        <f>VLOOKUP(D1468,Products!$A:$F,4,FALSE)</f>
        <v>2617</v>
      </c>
      <c r="O1468" t="str">
        <f>VLOOKUP(C1468,Customers!$A:$F,5,FALSE)</f>
        <v>Corporate</v>
      </c>
      <c r="P1468">
        <f>VLOOKUP(C1468,Customers!$A:$F,3,FALSE)</f>
        <v>56</v>
      </c>
      <c r="Q1468" t="str">
        <f>VLOOKUP(E1468,Sales_Reps!$A:$E,3,FALSE)</f>
        <v>East</v>
      </c>
      <c r="R1468" t="str">
        <f>VLOOKUP(E1468,Sales_Reps!$A:$E,2,FALSE)</f>
        <v>Shalini Patel</v>
      </c>
      <c r="S1468">
        <f t="shared" si="22"/>
        <v>0.56957236842105263</v>
      </c>
    </row>
    <row r="1469" spans="1:19" x14ac:dyDescent="0.3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  <c r="L1469" t="str">
        <f>VLOOKUP(D1469,Products!$A:$F,3,FALSE)</f>
        <v>Beauty</v>
      </c>
      <c r="M1469" t="b">
        <f>VLOOKUP(D1469,Products!$A:$F,6,FALSE)</f>
        <v>1</v>
      </c>
      <c r="N1469">
        <f>VLOOKUP(D1469,Products!$A:$F,4,FALSE)</f>
        <v>2237</v>
      </c>
      <c r="O1469" t="str">
        <f>VLOOKUP(C1469,Customers!$A:$F,5,FALSE)</f>
        <v>Retail</v>
      </c>
      <c r="P1469">
        <f>VLOOKUP(C1469,Customers!$A:$F,3,FALSE)</f>
        <v>26</v>
      </c>
      <c r="Q1469" t="str">
        <f>VLOOKUP(E1469,Sales_Reps!$A:$E,3,FALSE)</f>
        <v>South</v>
      </c>
      <c r="R1469" t="str">
        <f>VLOOKUP(E1469,Sales_Reps!$A:$E,2,FALSE)</f>
        <v>Deepak Shah</v>
      </c>
      <c r="S1469">
        <f t="shared" si="22"/>
        <v>0.56137254901960787</v>
      </c>
    </row>
    <row r="1470" spans="1:19" x14ac:dyDescent="0.3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  <c r="L1470" t="str">
        <f>VLOOKUP(D1470,Products!$A:$F,3,FALSE)</f>
        <v>Apparel</v>
      </c>
      <c r="M1470" t="b">
        <f>VLOOKUP(D1470,Products!$A:$F,6,FALSE)</f>
        <v>1</v>
      </c>
      <c r="N1470">
        <f>VLOOKUP(D1470,Products!$A:$F,4,FALSE)</f>
        <v>1748</v>
      </c>
      <c r="O1470" t="str">
        <f>VLOOKUP(C1470,Customers!$A:$F,5,FALSE)</f>
        <v>SMB</v>
      </c>
      <c r="P1470">
        <f>VLOOKUP(C1470,Customers!$A:$F,3,FALSE)</f>
        <v>43</v>
      </c>
      <c r="Q1470" t="str">
        <f>VLOOKUP(E1470,Sales_Reps!$A:$E,3,FALSE)</f>
        <v>South</v>
      </c>
      <c r="R1470" t="str">
        <f>VLOOKUP(E1470,Sales_Reps!$A:$E,2,FALSE)</f>
        <v>Ritu Menon</v>
      </c>
      <c r="S1470">
        <f t="shared" si="22"/>
        <v>0.49333333333333335</v>
      </c>
    </row>
    <row r="1471" spans="1:19" x14ac:dyDescent="0.3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  <c r="L1471" t="str">
        <f>VLOOKUP(D1471,Products!$A:$F,3,FALSE)</f>
        <v>Electronics</v>
      </c>
      <c r="M1471" t="b">
        <f>VLOOKUP(D1471,Products!$A:$F,6,FALSE)</f>
        <v>1</v>
      </c>
      <c r="N1471">
        <f>VLOOKUP(D1471,Products!$A:$F,4,FALSE)</f>
        <v>1665</v>
      </c>
      <c r="O1471" t="str">
        <f>VLOOKUP(C1471,Customers!$A:$F,5,FALSE)</f>
        <v>Retail</v>
      </c>
      <c r="P1471">
        <f>VLOOKUP(C1471,Customers!$A:$F,3,FALSE)</f>
        <v>44</v>
      </c>
      <c r="Q1471" t="str">
        <f>VLOOKUP(E1471,Sales_Reps!$A:$E,3,FALSE)</f>
        <v>North</v>
      </c>
      <c r="R1471" t="str">
        <f>VLOOKUP(E1471,Sales_Reps!$A:$E,2,FALSE)</f>
        <v>Sunita Malhotra</v>
      </c>
      <c r="S1471">
        <f t="shared" si="22"/>
        <v>0.53361344537815125</v>
      </c>
    </row>
    <row r="1472" spans="1:19" x14ac:dyDescent="0.3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  <c r="L1472" t="str">
        <f>VLOOKUP(D1472,Products!$A:$F,3,FALSE)</f>
        <v>Home</v>
      </c>
      <c r="M1472" t="b">
        <f>VLOOKUP(D1472,Products!$A:$F,6,FALSE)</f>
        <v>1</v>
      </c>
      <c r="N1472">
        <f>VLOOKUP(D1472,Products!$A:$F,4,FALSE)</f>
        <v>2135</v>
      </c>
      <c r="O1472" t="str">
        <f>VLOOKUP(C1472,Customers!$A:$F,5,FALSE)</f>
        <v>Retail</v>
      </c>
      <c r="P1472">
        <f>VLOOKUP(C1472,Customers!$A:$F,3,FALSE)</f>
        <v>38</v>
      </c>
      <c r="Q1472" t="str">
        <f>VLOOKUP(E1472,Sales_Reps!$A:$E,3,FALSE)</f>
        <v>East</v>
      </c>
      <c r="R1472" t="str">
        <f>VLOOKUP(E1472,Sales_Reps!$A:$E,2,FALSE)</f>
        <v>Shalini Patel</v>
      </c>
      <c r="S1472">
        <f t="shared" si="22"/>
        <v>0.42761394101876676</v>
      </c>
    </row>
    <row r="1473" spans="1:19" x14ac:dyDescent="0.3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  <c r="L1473" t="str">
        <f>VLOOKUP(D1473,Products!$A:$F,3,FALSE)</f>
        <v>Sports</v>
      </c>
      <c r="M1473" t="b">
        <f>VLOOKUP(D1473,Products!$A:$F,6,FALSE)</f>
        <v>1</v>
      </c>
      <c r="N1473">
        <f>VLOOKUP(D1473,Products!$A:$F,4,FALSE)</f>
        <v>1860</v>
      </c>
      <c r="O1473" t="str">
        <f>VLOOKUP(C1473,Customers!$A:$F,5,FALSE)</f>
        <v>Corporate</v>
      </c>
      <c r="P1473">
        <f>VLOOKUP(C1473,Customers!$A:$F,3,FALSE)</f>
        <v>55</v>
      </c>
      <c r="Q1473" t="str">
        <f>VLOOKUP(E1473,Sales_Reps!$A:$E,3,FALSE)</f>
        <v>East</v>
      </c>
      <c r="R1473" t="str">
        <f>VLOOKUP(E1473,Sales_Reps!$A:$E,2,FALSE)</f>
        <v>Prakash Shah</v>
      </c>
      <c r="S1473">
        <f t="shared" si="22"/>
        <v>0.50793650793650791</v>
      </c>
    </row>
    <row r="1474" spans="1:19" x14ac:dyDescent="0.3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  <c r="L1474" t="str">
        <f>VLOOKUP(D1474,Products!$A:$F,3,FALSE)</f>
        <v>Apparel</v>
      </c>
      <c r="M1474" t="b">
        <f>VLOOKUP(D1474,Products!$A:$F,6,FALSE)</f>
        <v>0</v>
      </c>
      <c r="N1474">
        <f>VLOOKUP(D1474,Products!$A:$F,4,FALSE)</f>
        <v>1075</v>
      </c>
      <c r="O1474" t="str">
        <f>VLOOKUP(C1474,Customers!$A:$F,5,FALSE)</f>
        <v>SMB</v>
      </c>
      <c r="P1474">
        <f>VLOOKUP(C1474,Customers!$A:$F,3,FALSE)</f>
        <v>42</v>
      </c>
      <c r="Q1474" t="str">
        <f>VLOOKUP(E1474,Sales_Reps!$A:$E,3,FALSE)</f>
        <v>South</v>
      </c>
      <c r="R1474" t="str">
        <f>VLOOKUP(E1474,Sales_Reps!$A:$E,2,FALSE)</f>
        <v>Anil Verma</v>
      </c>
      <c r="S1474">
        <f t="shared" si="22"/>
        <v>0.57171314741035861</v>
      </c>
    </row>
    <row r="1475" spans="1:19" x14ac:dyDescent="0.3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  <c r="L1475" t="str">
        <f>VLOOKUP(D1475,Products!$A:$F,3,FALSE)</f>
        <v>Home</v>
      </c>
      <c r="M1475" t="b">
        <f>VLOOKUP(D1475,Products!$A:$F,6,FALSE)</f>
        <v>1</v>
      </c>
      <c r="N1475">
        <f>VLOOKUP(D1475,Products!$A:$F,4,FALSE)</f>
        <v>329</v>
      </c>
      <c r="O1475" t="str">
        <f>VLOOKUP(C1475,Customers!$A:$F,5,FALSE)</f>
        <v>Retail</v>
      </c>
      <c r="P1475">
        <f>VLOOKUP(C1475,Customers!$A:$F,3,FALSE)</f>
        <v>63</v>
      </c>
      <c r="Q1475" t="str">
        <f>VLOOKUP(E1475,Sales_Reps!$A:$E,3,FALSE)</f>
        <v>North</v>
      </c>
      <c r="R1475" t="str">
        <f>VLOOKUP(E1475,Sales_Reps!$A:$E,2,FALSE)</f>
        <v>Suresh Menon</v>
      </c>
      <c r="S1475">
        <f t="shared" ref="S1475:S1538" si="23">IFERROR((G1475-N1475)/G1475,"")</f>
        <v>0.50151515151515147</v>
      </c>
    </row>
    <row r="1476" spans="1:19" x14ac:dyDescent="0.3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  <c r="L1476" t="str">
        <f>VLOOKUP(D1476,Products!$A:$F,3,FALSE)</f>
        <v>Apparel</v>
      </c>
      <c r="M1476" t="b">
        <f>VLOOKUP(D1476,Products!$A:$F,6,FALSE)</f>
        <v>1</v>
      </c>
      <c r="N1476">
        <f>VLOOKUP(D1476,Products!$A:$F,4,FALSE)</f>
        <v>2611</v>
      </c>
      <c r="O1476" t="str">
        <f>VLOOKUP(C1476,Customers!$A:$F,5,FALSE)</f>
        <v>Retail</v>
      </c>
      <c r="P1476">
        <f>VLOOKUP(C1476,Customers!$A:$F,3,FALSE)</f>
        <v>33</v>
      </c>
      <c r="Q1476" t="str">
        <f>VLOOKUP(E1476,Sales_Reps!$A:$E,3,FALSE)</f>
        <v>West</v>
      </c>
      <c r="R1476" t="str">
        <f>VLOOKUP(E1476,Sales_Reps!$A:$E,2,FALSE)</f>
        <v>Kiran Bhatt</v>
      </c>
      <c r="S1476">
        <f t="shared" si="23"/>
        <v>0.28269230769230769</v>
      </c>
    </row>
    <row r="1477" spans="1:19" x14ac:dyDescent="0.3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  <c r="L1477" t="str">
        <f>VLOOKUP(D1477,Products!$A:$F,3,FALSE)</f>
        <v>Sports</v>
      </c>
      <c r="M1477" t="b">
        <f>VLOOKUP(D1477,Products!$A:$F,6,FALSE)</f>
        <v>1</v>
      </c>
      <c r="N1477">
        <f>VLOOKUP(D1477,Products!$A:$F,4,FALSE)</f>
        <v>2265</v>
      </c>
      <c r="O1477" t="str">
        <f>VLOOKUP(C1477,Customers!$A:$F,5,FALSE)</f>
        <v>Corporate</v>
      </c>
      <c r="P1477">
        <f>VLOOKUP(C1477,Customers!$A:$F,3,FALSE)</f>
        <v>52</v>
      </c>
      <c r="Q1477" t="str">
        <f>VLOOKUP(E1477,Sales_Reps!$A:$E,3,FALSE)</f>
        <v>East</v>
      </c>
      <c r="R1477" t="str">
        <f>VLOOKUP(E1477,Sales_Reps!$A:$E,2,FALSE)</f>
        <v>Prakash Shah</v>
      </c>
      <c r="S1477">
        <f t="shared" si="23"/>
        <v>0.58133086876155271</v>
      </c>
    </row>
    <row r="1478" spans="1:19" x14ac:dyDescent="0.3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  <c r="L1478" t="str">
        <f>VLOOKUP(D1478,Products!$A:$F,3,FALSE)</f>
        <v>Sports</v>
      </c>
      <c r="M1478" t="b">
        <f>VLOOKUP(D1478,Products!$A:$F,6,FALSE)</f>
        <v>1</v>
      </c>
      <c r="N1478">
        <f>VLOOKUP(D1478,Products!$A:$F,4,FALSE)</f>
        <v>974</v>
      </c>
      <c r="O1478" t="str">
        <f>VLOOKUP(C1478,Customers!$A:$F,5,FALSE)</f>
        <v>Retail</v>
      </c>
      <c r="P1478">
        <f>VLOOKUP(C1478,Customers!$A:$F,3,FALSE)</f>
        <v>40</v>
      </c>
      <c r="Q1478" t="str">
        <f>VLOOKUP(E1478,Sales_Reps!$A:$E,3,FALSE)</f>
        <v>North</v>
      </c>
      <c r="R1478" t="str">
        <f>VLOOKUP(E1478,Sales_Reps!$A:$E,2,FALSE)</f>
        <v>Kavita Patel</v>
      </c>
      <c r="S1478">
        <f t="shared" si="23"/>
        <v>0.59416666666666662</v>
      </c>
    </row>
    <row r="1479" spans="1:19" x14ac:dyDescent="0.3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  <c r="L1479" t="str">
        <f>VLOOKUP(D1479,Products!$A:$F,3,FALSE)</f>
        <v>Home</v>
      </c>
      <c r="M1479" t="b">
        <f>VLOOKUP(D1479,Products!$A:$F,6,FALSE)</f>
        <v>1</v>
      </c>
      <c r="N1479">
        <f>VLOOKUP(D1479,Products!$A:$F,4,FALSE)</f>
        <v>2549</v>
      </c>
      <c r="O1479" t="str">
        <f>VLOOKUP(C1479,Customers!$A:$F,5,FALSE)</f>
        <v>Corporate</v>
      </c>
      <c r="P1479">
        <f>VLOOKUP(C1479,Customers!$A:$F,3,FALSE)</f>
        <v>35</v>
      </c>
      <c r="Q1479" t="str">
        <f>VLOOKUP(E1479,Sales_Reps!$A:$E,3,FALSE)</f>
        <v>West</v>
      </c>
      <c r="R1479" t="str">
        <f>VLOOKUP(E1479,Sales_Reps!$A:$E,2,FALSE)</f>
        <v>Preeti Shah</v>
      </c>
      <c r="S1479">
        <f t="shared" si="23"/>
        <v>0.53570127504553733</v>
      </c>
    </row>
    <row r="1480" spans="1:19" x14ac:dyDescent="0.3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  <c r="L1480" t="str">
        <f>VLOOKUP(D1480,Products!$A:$F,3,FALSE)</f>
        <v>Beauty</v>
      </c>
      <c r="M1480" t="b">
        <f>VLOOKUP(D1480,Products!$A:$F,6,FALSE)</f>
        <v>0</v>
      </c>
      <c r="N1480">
        <f>VLOOKUP(D1480,Products!$A:$F,4,FALSE)</f>
        <v>647</v>
      </c>
      <c r="O1480" t="str">
        <f>VLOOKUP(C1480,Customers!$A:$F,5,FALSE)</f>
        <v>Retail</v>
      </c>
      <c r="P1480">
        <f>VLOOKUP(C1480,Customers!$A:$F,3,FALSE)</f>
        <v>42</v>
      </c>
      <c r="Q1480" t="str">
        <f>VLOOKUP(E1480,Sales_Reps!$A:$E,3,FALSE)</f>
        <v>South</v>
      </c>
      <c r="R1480" t="str">
        <f>VLOOKUP(E1480,Sales_Reps!$A:$E,2,FALSE)</f>
        <v>Anjali Chopra</v>
      </c>
      <c r="S1480">
        <f t="shared" si="23"/>
        <v>0.57987012987012987</v>
      </c>
    </row>
    <row r="1481" spans="1:19" x14ac:dyDescent="0.3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  <c r="L1481" t="str">
        <f>VLOOKUP(D1481,Products!$A:$F,3,FALSE)</f>
        <v>Electronics</v>
      </c>
      <c r="M1481" t="b">
        <f>VLOOKUP(D1481,Products!$A:$F,6,FALSE)</f>
        <v>1</v>
      </c>
      <c r="N1481">
        <f>VLOOKUP(D1481,Products!$A:$F,4,FALSE)</f>
        <v>2405</v>
      </c>
      <c r="O1481" t="str">
        <f>VLOOKUP(C1481,Customers!$A:$F,5,FALSE)</f>
        <v>Retail</v>
      </c>
      <c r="P1481">
        <f>VLOOKUP(C1481,Customers!$A:$F,3,FALSE)</f>
        <v>31</v>
      </c>
      <c r="Q1481" t="str">
        <f>VLOOKUP(E1481,Sales_Reps!$A:$E,3,FALSE)</f>
        <v>North</v>
      </c>
      <c r="R1481" t="str">
        <f>VLOOKUP(E1481,Sales_Reps!$A:$E,2,FALSE)</f>
        <v>Rajesh Malhotra</v>
      </c>
      <c r="S1481">
        <f t="shared" si="23"/>
        <v>0.54878048780487809</v>
      </c>
    </row>
    <row r="1482" spans="1:19" x14ac:dyDescent="0.3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  <c r="L1482" t="str">
        <f>VLOOKUP(D1482,Products!$A:$F,3,FALSE)</f>
        <v>Sports</v>
      </c>
      <c r="M1482" t="b">
        <f>VLOOKUP(D1482,Products!$A:$F,6,FALSE)</f>
        <v>1</v>
      </c>
      <c r="N1482">
        <f>VLOOKUP(D1482,Products!$A:$F,4,FALSE)</f>
        <v>2028</v>
      </c>
      <c r="O1482" t="str">
        <f>VLOOKUP(C1482,Customers!$A:$F,5,FALSE)</f>
        <v>Corporate</v>
      </c>
      <c r="P1482">
        <f>VLOOKUP(C1482,Customers!$A:$F,3,FALSE)</f>
        <v>60</v>
      </c>
      <c r="Q1482" t="str">
        <f>VLOOKUP(E1482,Sales_Reps!$A:$E,3,FALSE)</f>
        <v>South</v>
      </c>
      <c r="R1482" t="str">
        <f>VLOOKUP(E1482,Sales_Reps!$A:$E,2,FALSE)</f>
        <v>Pooja Nair</v>
      </c>
      <c r="S1482">
        <f t="shared" si="23"/>
        <v>0.29090909090909089</v>
      </c>
    </row>
    <row r="1483" spans="1:19" x14ac:dyDescent="0.3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  <c r="L1483" t="str">
        <f>VLOOKUP(D1483,Products!$A:$F,3,FALSE)</f>
        <v>Beauty</v>
      </c>
      <c r="M1483" t="b">
        <f>VLOOKUP(D1483,Products!$A:$F,6,FALSE)</f>
        <v>1</v>
      </c>
      <c r="N1483">
        <f>VLOOKUP(D1483,Products!$A:$F,4,FALSE)</f>
        <v>2768</v>
      </c>
      <c r="O1483" t="str">
        <f>VLOOKUP(C1483,Customers!$A:$F,5,FALSE)</f>
        <v>Retail</v>
      </c>
      <c r="P1483">
        <f>VLOOKUP(C1483,Customers!$A:$F,3,FALSE)</f>
        <v>52</v>
      </c>
      <c r="Q1483" t="str">
        <f>VLOOKUP(E1483,Sales_Reps!$A:$E,3,FALSE)</f>
        <v>North</v>
      </c>
      <c r="R1483" t="str">
        <f>VLOOKUP(E1483,Sales_Reps!$A:$E,2,FALSE)</f>
        <v>Neha Desai</v>
      </c>
      <c r="S1483">
        <f t="shared" si="23"/>
        <v>0.43278688524590164</v>
      </c>
    </row>
    <row r="1484" spans="1:19" x14ac:dyDescent="0.3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  <c r="L1484" t="str">
        <f>VLOOKUP(D1484,Products!$A:$F,3,FALSE)</f>
        <v>Apparel</v>
      </c>
      <c r="M1484" t="b">
        <f>VLOOKUP(D1484,Products!$A:$F,6,FALSE)</f>
        <v>0</v>
      </c>
      <c r="N1484">
        <f>VLOOKUP(D1484,Products!$A:$F,4,FALSE)</f>
        <v>1075</v>
      </c>
      <c r="O1484" t="str">
        <f>VLOOKUP(C1484,Customers!$A:$F,5,FALSE)</f>
        <v>SMB</v>
      </c>
      <c r="P1484">
        <f>VLOOKUP(C1484,Customers!$A:$F,3,FALSE)</f>
        <v>59</v>
      </c>
      <c r="Q1484" t="str">
        <f>VLOOKUP(E1484,Sales_Reps!$A:$E,3,FALSE)</f>
        <v>North</v>
      </c>
      <c r="R1484" t="str">
        <f>VLOOKUP(E1484,Sales_Reps!$A:$E,2,FALSE)</f>
        <v>Vikram Patel</v>
      </c>
      <c r="S1484">
        <f t="shared" si="23"/>
        <v>0.57171314741035861</v>
      </c>
    </row>
    <row r="1485" spans="1:19" x14ac:dyDescent="0.3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  <c r="L1485" t="str">
        <f>VLOOKUP(D1485,Products!$A:$F,3,FALSE)</f>
        <v>Electronics</v>
      </c>
      <c r="M1485" t="b">
        <f>VLOOKUP(D1485,Products!$A:$F,6,FALSE)</f>
        <v>1</v>
      </c>
      <c r="N1485">
        <f>VLOOKUP(D1485,Products!$A:$F,4,FALSE)</f>
        <v>2865</v>
      </c>
      <c r="O1485" t="e">
        <f>VLOOKUP(C1485,Customers!$A:$F,5,FALSE)</f>
        <v>#N/A</v>
      </c>
      <c r="P1485" t="e">
        <f>VLOOKUP(C1485,Customers!$A:$F,3,FALSE)</f>
        <v>#N/A</v>
      </c>
      <c r="Q1485" t="str">
        <f>VLOOKUP(E1485,Sales_Reps!$A:$E,3,FALSE)</f>
        <v>East</v>
      </c>
      <c r="R1485" t="str">
        <f>VLOOKUP(E1485,Sales_Reps!$A:$E,2,FALSE)</f>
        <v>Meera Iyer</v>
      </c>
      <c r="S1485">
        <f t="shared" si="23"/>
        <v>0.27833753148614609</v>
      </c>
    </row>
    <row r="1486" spans="1:19" x14ac:dyDescent="0.3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  <c r="L1486" t="str">
        <f>VLOOKUP(D1486,Products!$A:$F,3,FALSE)</f>
        <v>Sports</v>
      </c>
      <c r="M1486" t="b">
        <f>VLOOKUP(D1486,Products!$A:$F,6,FALSE)</f>
        <v>0</v>
      </c>
      <c r="N1486">
        <f>VLOOKUP(D1486,Products!$A:$F,4,FALSE)</f>
        <v>302</v>
      </c>
      <c r="O1486" t="str">
        <f>VLOOKUP(C1486,Customers!$A:$F,5,FALSE)</f>
        <v>Retail</v>
      </c>
      <c r="P1486">
        <f>VLOOKUP(C1486,Customers!$A:$F,3,FALSE)</f>
        <v>44</v>
      </c>
      <c r="Q1486" t="str">
        <f>VLOOKUP(E1486,Sales_Reps!$A:$E,3,FALSE)</f>
        <v>West</v>
      </c>
      <c r="R1486" t="str">
        <f>VLOOKUP(E1486,Sales_Reps!$A:$E,2,FALSE)</f>
        <v>Ramesh Bhatt</v>
      </c>
      <c r="S1486">
        <f t="shared" si="23"/>
        <v>0.35744680851063831</v>
      </c>
    </row>
    <row r="1487" spans="1:19" x14ac:dyDescent="0.3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  <c r="L1487" t="str">
        <f>VLOOKUP(D1487,Products!$A:$F,3,FALSE)</f>
        <v>Electronics</v>
      </c>
      <c r="M1487" t="b">
        <f>VLOOKUP(D1487,Products!$A:$F,6,FALSE)</f>
        <v>1</v>
      </c>
      <c r="N1487">
        <f>VLOOKUP(D1487,Products!$A:$F,4,FALSE)</f>
        <v>2405</v>
      </c>
      <c r="O1487" t="str">
        <f>VLOOKUP(C1487,Customers!$A:$F,5,FALSE)</f>
        <v>Retail</v>
      </c>
      <c r="P1487">
        <f>VLOOKUP(C1487,Customers!$A:$F,3,FALSE)</f>
        <v>29</v>
      </c>
      <c r="Q1487" t="str">
        <f>VLOOKUP(E1487,Sales_Reps!$A:$E,3,FALSE)</f>
        <v>West</v>
      </c>
      <c r="R1487" t="str">
        <f>VLOOKUP(E1487,Sales_Reps!$A:$E,2,FALSE)</f>
        <v>Ashok Reddy</v>
      </c>
      <c r="S1487">
        <f t="shared" si="23"/>
        <v>0.54878048780487809</v>
      </c>
    </row>
    <row r="1488" spans="1:19" x14ac:dyDescent="0.3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  <c r="L1488" t="str">
        <f>VLOOKUP(D1488,Products!$A:$F,3,FALSE)</f>
        <v>Home</v>
      </c>
      <c r="M1488" t="b">
        <f>VLOOKUP(D1488,Products!$A:$F,6,FALSE)</f>
        <v>1</v>
      </c>
      <c r="N1488">
        <f>VLOOKUP(D1488,Products!$A:$F,4,FALSE)</f>
        <v>464</v>
      </c>
      <c r="O1488" t="str">
        <f>VLOOKUP(C1488,Customers!$A:$F,5,FALSE)</f>
        <v>SMB</v>
      </c>
      <c r="P1488">
        <f>VLOOKUP(C1488,Customers!$A:$F,3,FALSE)</f>
        <v>46</v>
      </c>
      <c r="Q1488" t="str">
        <f>VLOOKUP(E1488,Sales_Reps!$A:$E,3,FALSE)</f>
        <v>South</v>
      </c>
      <c r="R1488" t="str">
        <f>VLOOKUP(E1488,Sales_Reps!$A:$E,2,FALSE)</f>
        <v>Pooja Nair</v>
      </c>
      <c r="S1488">
        <f t="shared" si="23"/>
        <v>0.57431192660550456</v>
      </c>
    </row>
    <row r="1489" spans="1:19" x14ac:dyDescent="0.3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  <c r="L1489" t="str">
        <f>VLOOKUP(D1489,Products!$A:$F,3,FALSE)</f>
        <v>Sports</v>
      </c>
      <c r="M1489" t="b">
        <f>VLOOKUP(D1489,Products!$A:$F,6,FALSE)</f>
        <v>1</v>
      </c>
      <c r="N1489">
        <f>VLOOKUP(D1489,Products!$A:$F,4,FALSE)</f>
        <v>516</v>
      </c>
      <c r="O1489" t="str">
        <f>VLOOKUP(C1489,Customers!$A:$F,5,FALSE)</f>
        <v>SMB</v>
      </c>
      <c r="P1489">
        <f>VLOOKUP(C1489,Customers!$A:$F,3,FALSE)</f>
        <v>30</v>
      </c>
      <c r="Q1489" t="str">
        <f>VLOOKUP(E1489,Sales_Reps!$A:$E,3,FALSE)</f>
        <v>South</v>
      </c>
      <c r="R1489" t="str">
        <f>VLOOKUP(E1489,Sales_Reps!$A:$E,2,FALSE)</f>
        <v>Manoj Patel</v>
      </c>
      <c r="S1489">
        <f t="shared" si="23"/>
        <v>0.4891089108910891</v>
      </c>
    </row>
    <row r="1490" spans="1:19" x14ac:dyDescent="0.3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  <c r="L1490" t="str">
        <f>VLOOKUP(D1490,Products!$A:$F,3,FALSE)</f>
        <v>Electronics</v>
      </c>
      <c r="M1490" t="b">
        <f>VLOOKUP(D1490,Products!$A:$F,6,FALSE)</f>
        <v>1</v>
      </c>
      <c r="N1490">
        <f>VLOOKUP(D1490,Products!$A:$F,4,FALSE)</f>
        <v>1559</v>
      </c>
      <c r="O1490" t="str">
        <f>VLOOKUP(C1490,Customers!$A:$F,5,FALSE)</f>
        <v>Corporate</v>
      </c>
      <c r="P1490">
        <f>VLOOKUP(C1490,Customers!$A:$F,3,FALSE)</f>
        <v>40</v>
      </c>
      <c r="Q1490" t="str">
        <f>VLOOKUP(E1490,Sales_Reps!$A:$E,3,FALSE)</f>
        <v>South</v>
      </c>
      <c r="R1490" t="str">
        <f>VLOOKUP(E1490,Sales_Reps!$A:$E,2,FALSE)</f>
        <v>Anjali Chopra</v>
      </c>
      <c r="S1490">
        <f t="shared" si="23"/>
        <v>0.59715762273901807</v>
      </c>
    </row>
    <row r="1491" spans="1:19" x14ac:dyDescent="0.3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  <c r="L1491" t="str">
        <f>VLOOKUP(D1491,Products!$A:$F,3,FALSE)</f>
        <v>Electronics</v>
      </c>
      <c r="M1491" t="b">
        <f>VLOOKUP(D1491,Products!$A:$F,6,FALSE)</f>
        <v>0</v>
      </c>
      <c r="N1491">
        <f>VLOOKUP(D1491,Products!$A:$F,4,FALSE)</f>
        <v>1259</v>
      </c>
      <c r="O1491" t="str">
        <f>VLOOKUP(C1491,Customers!$A:$F,5,FALSE)</f>
        <v>Retail</v>
      </c>
      <c r="P1491">
        <f>VLOOKUP(C1491,Customers!$A:$F,3,FALSE)</f>
        <v>41</v>
      </c>
      <c r="Q1491" t="str">
        <f>VLOOKUP(E1491,Sales_Reps!$A:$E,3,FALSE)</f>
        <v>South</v>
      </c>
      <c r="R1491" t="str">
        <f>VLOOKUP(E1491,Sales_Reps!$A:$E,2,FALSE)</f>
        <v>Sanjay Kapoor</v>
      </c>
      <c r="S1491">
        <f t="shared" si="23"/>
        <v>0.52669172932330832</v>
      </c>
    </row>
    <row r="1492" spans="1:19" x14ac:dyDescent="0.3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  <c r="L1492" t="str">
        <f>VLOOKUP(D1492,Products!$A:$F,3,FALSE)</f>
        <v>Electronics</v>
      </c>
      <c r="M1492" t="b">
        <f>VLOOKUP(D1492,Products!$A:$F,6,FALSE)</f>
        <v>1</v>
      </c>
      <c r="N1492">
        <f>VLOOKUP(D1492,Products!$A:$F,4,FALSE)</f>
        <v>861</v>
      </c>
      <c r="O1492" t="str">
        <f>VLOOKUP(C1492,Customers!$A:$F,5,FALSE)</f>
        <v>Corporate</v>
      </c>
      <c r="P1492">
        <f>VLOOKUP(C1492,Customers!$A:$F,3,FALSE)</f>
        <v>55</v>
      </c>
      <c r="Q1492" t="str">
        <f>VLOOKUP(E1492,Sales_Reps!$A:$E,3,FALSE)</f>
        <v>East</v>
      </c>
      <c r="R1492" t="str">
        <f>VLOOKUP(E1492,Sales_Reps!$A:$E,2,FALSE)</f>
        <v>Prakash Shah</v>
      </c>
      <c r="S1492">
        <f t="shared" si="23"/>
        <v>0.39790209790209791</v>
      </c>
    </row>
    <row r="1493" spans="1:19" x14ac:dyDescent="0.3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  <c r="L1493" t="str">
        <f>VLOOKUP(D1493,Products!$A:$F,3,FALSE)</f>
        <v>Beauty</v>
      </c>
      <c r="M1493" t="b">
        <f>VLOOKUP(D1493,Products!$A:$F,6,FALSE)</f>
        <v>1</v>
      </c>
      <c r="N1493">
        <f>VLOOKUP(D1493,Products!$A:$F,4,FALSE)</f>
        <v>2768</v>
      </c>
      <c r="O1493" t="str">
        <f>VLOOKUP(C1493,Customers!$A:$F,5,FALSE)</f>
        <v>Corporate</v>
      </c>
      <c r="P1493">
        <f>VLOOKUP(C1493,Customers!$A:$F,3,FALSE)</f>
        <v>36</v>
      </c>
      <c r="Q1493" t="str">
        <f>VLOOKUP(E1493,Sales_Reps!$A:$E,3,FALSE)</f>
        <v>East</v>
      </c>
      <c r="R1493" t="str">
        <f>VLOOKUP(E1493,Sales_Reps!$A:$E,2,FALSE)</f>
        <v>Vinod Kumar</v>
      </c>
      <c r="S1493">
        <f t="shared" si="23"/>
        <v>0.43278688524590164</v>
      </c>
    </row>
    <row r="1494" spans="1:19" x14ac:dyDescent="0.3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  <c r="L1494" t="str">
        <f>VLOOKUP(D1494,Products!$A:$F,3,FALSE)</f>
        <v>Sports</v>
      </c>
      <c r="M1494" t="b">
        <f>VLOOKUP(D1494,Products!$A:$F,6,FALSE)</f>
        <v>1</v>
      </c>
      <c r="N1494">
        <f>VLOOKUP(D1494,Products!$A:$F,4,FALSE)</f>
        <v>147</v>
      </c>
      <c r="O1494" t="str">
        <f>VLOOKUP(C1494,Customers!$A:$F,5,FALSE)</f>
        <v>Retail</v>
      </c>
      <c r="P1494">
        <f>VLOOKUP(C1494,Customers!$A:$F,3,FALSE)</f>
        <v>55</v>
      </c>
      <c r="Q1494" t="str">
        <f>VLOOKUP(E1494,Sales_Reps!$A:$E,3,FALSE)</f>
        <v>North</v>
      </c>
      <c r="R1494" t="str">
        <f>VLOOKUP(E1494,Sales_Reps!$A:$E,2,FALSE)</f>
        <v>Rajesh Malhotra</v>
      </c>
      <c r="S1494">
        <f t="shared" si="23"/>
        <v>0.22631578947368422</v>
      </c>
    </row>
    <row r="1495" spans="1:19" x14ac:dyDescent="0.3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  <c r="L1495" t="str">
        <f>VLOOKUP(D1495,Products!$A:$F,3,FALSE)</f>
        <v>Beauty</v>
      </c>
      <c r="M1495" t="b">
        <f>VLOOKUP(D1495,Products!$A:$F,6,FALSE)</f>
        <v>1</v>
      </c>
      <c r="N1495">
        <f>VLOOKUP(D1495,Products!$A:$F,4,FALSE)</f>
        <v>1626</v>
      </c>
      <c r="O1495" t="str">
        <f>VLOOKUP(C1495,Customers!$A:$F,5,FALSE)</f>
        <v>Corporate</v>
      </c>
      <c r="P1495">
        <f>VLOOKUP(C1495,Customers!$A:$F,3,FALSE)</f>
        <v>31</v>
      </c>
      <c r="Q1495" t="str">
        <f>VLOOKUP(E1495,Sales_Reps!$A:$E,3,FALSE)</f>
        <v>East</v>
      </c>
      <c r="R1495" t="str">
        <f>VLOOKUP(E1495,Sales_Reps!$A:$E,2,FALSE)</f>
        <v>Prakash Shah</v>
      </c>
      <c r="S1495">
        <f t="shared" si="23"/>
        <v>0.46158940397350995</v>
      </c>
    </row>
    <row r="1496" spans="1:19" x14ac:dyDescent="0.3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  <c r="L1496" t="str">
        <f>VLOOKUP(D1496,Products!$A:$F,3,FALSE)</f>
        <v>Beauty</v>
      </c>
      <c r="M1496" t="b">
        <f>VLOOKUP(D1496,Products!$A:$F,6,FALSE)</f>
        <v>1</v>
      </c>
      <c r="N1496">
        <f>VLOOKUP(D1496,Products!$A:$F,4,FALSE)</f>
        <v>2768</v>
      </c>
      <c r="O1496" t="str">
        <f>VLOOKUP(C1496,Customers!$A:$F,5,FALSE)</f>
        <v>Corporate</v>
      </c>
      <c r="P1496">
        <f>VLOOKUP(C1496,Customers!$A:$F,3,FALSE)</f>
        <v>57</v>
      </c>
      <c r="Q1496" t="str">
        <f>VLOOKUP(E1496,Sales_Reps!$A:$E,3,FALSE)</f>
        <v>East</v>
      </c>
      <c r="R1496" t="str">
        <f>VLOOKUP(E1496,Sales_Reps!$A:$E,2,FALSE)</f>
        <v>Prakash Shah</v>
      </c>
      <c r="S1496">
        <f t="shared" si="23"/>
        <v>0.43278688524590164</v>
      </c>
    </row>
    <row r="1497" spans="1:19" x14ac:dyDescent="0.3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  <c r="L1497" t="str">
        <f>VLOOKUP(D1497,Products!$A:$F,3,FALSE)</f>
        <v>Sports</v>
      </c>
      <c r="M1497" t="b">
        <f>VLOOKUP(D1497,Products!$A:$F,6,FALSE)</f>
        <v>1</v>
      </c>
      <c r="N1497">
        <f>VLOOKUP(D1497,Products!$A:$F,4,FALSE)</f>
        <v>974</v>
      </c>
      <c r="O1497" t="str">
        <f>VLOOKUP(C1497,Customers!$A:$F,5,FALSE)</f>
        <v>Corporate</v>
      </c>
      <c r="P1497">
        <f>VLOOKUP(C1497,Customers!$A:$F,3,FALSE)</f>
        <v>41</v>
      </c>
      <c r="Q1497" t="str">
        <f>VLOOKUP(E1497,Sales_Reps!$A:$E,3,FALSE)</f>
        <v>West</v>
      </c>
      <c r="R1497" t="str">
        <f>VLOOKUP(E1497,Sales_Reps!$A:$E,2,FALSE)</f>
        <v>Ramesh Bhatt</v>
      </c>
      <c r="S1497">
        <f t="shared" si="23"/>
        <v>0.59416666666666662</v>
      </c>
    </row>
    <row r="1498" spans="1:19" x14ac:dyDescent="0.3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  <c r="L1498" t="str">
        <f>VLOOKUP(D1498,Products!$A:$F,3,FALSE)</f>
        <v>Beauty</v>
      </c>
      <c r="M1498" t="b">
        <f>VLOOKUP(D1498,Products!$A:$F,6,FALSE)</f>
        <v>1</v>
      </c>
      <c r="N1498">
        <f>VLOOKUP(D1498,Products!$A:$F,4,FALSE)</f>
        <v>2617</v>
      </c>
      <c r="O1498" t="str">
        <f>VLOOKUP(C1498,Customers!$A:$F,5,FALSE)</f>
        <v>Retail</v>
      </c>
      <c r="P1498">
        <f>VLOOKUP(C1498,Customers!$A:$F,3,FALSE)</f>
        <v>65</v>
      </c>
      <c r="Q1498" t="str">
        <f>VLOOKUP(E1498,Sales_Reps!$A:$E,3,FALSE)</f>
        <v>North</v>
      </c>
      <c r="R1498" t="str">
        <f>VLOOKUP(E1498,Sales_Reps!$A:$E,2,FALSE)</f>
        <v>Sunita Malhotra</v>
      </c>
      <c r="S1498">
        <f t="shared" si="23"/>
        <v>0.56957236842105263</v>
      </c>
    </row>
    <row r="1499" spans="1:19" x14ac:dyDescent="0.3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  <c r="L1499" t="str">
        <f>VLOOKUP(D1499,Products!$A:$F,3,FALSE)</f>
        <v>Grocery</v>
      </c>
      <c r="M1499" t="b">
        <f>VLOOKUP(D1499,Products!$A:$F,6,FALSE)</f>
        <v>1</v>
      </c>
      <c r="N1499">
        <f>VLOOKUP(D1499,Products!$A:$F,4,FALSE)</f>
        <v>1182</v>
      </c>
      <c r="O1499" t="str">
        <f>VLOOKUP(C1499,Customers!$A:$F,5,FALSE)</f>
        <v>Retail</v>
      </c>
      <c r="P1499">
        <f>VLOOKUP(C1499,Customers!$A:$F,3,FALSE)</f>
        <v>32</v>
      </c>
      <c r="Q1499" t="str">
        <f>VLOOKUP(E1499,Sales_Reps!$A:$E,3,FALSE)</f>
        <v>East</v>
      </c>
      <c r="R1499" t="str">
        <f>VLOOKUP(E1499,Sales_Reps!$A:$E,2,FALSE)</f>
        <v>Vinod Kumar</v>
      </c>
      <c r="S1499">
        <f t="shared" si="23"/>
        <v>0.50336134453781511</v>
      </c>
    </row>
    <row r="1500" spans="1:19" x14ac:dyDescent="0.3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  <c r="L1500" t="str">
        <f>VLOOKUP(D1500,Products!$A:$F,3,FALSE)</f>
        <v>Beauty</v>
      </c>
      <c r="M1500" t="b">
        <f>VLOOKUP(D1500,Products!$A:$F,6,FALSE)</f>
        <v>0</v>
      </c>
      <c r="N1500">
        <f>VLOOKUP(D1500,Products!$A:$F,4,FALSE)</f>
        <v>647</v>
      </c>
      <c r="O1500" t="str">
        <f>VLOOKUP(C1500,Customers!$A:$F,5,FALSE)</f>
        <v>SMB</v>
      </c>
      <c r="P1500">
        <f>VLOOKUP(C1500,Customers!$A:$F,3,FALSE)</f>
        <v>62</v>
      </c>
      <c r="Q1500" t="str">
        <f>VLOOKUP(E1500,Sales_Reps!$A:$E,3,FALSE)</f>
        <v>North</v>
      </c>
      <c r="R1500" t="str">
        <f>VLOOKUP(E1500,Sales_Reps!$A:$E,2,FALSE)</f>
        <v>Rajesh Malhotra</v>
      </c>
      <c r="S1500">
        <f t="shared" si="23"/>
        <v>0.57987012987012987</v>
      </c>
    </row>
    <row r="1501" spans="1:19" x14ac:dyDescent="0.3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  <c r="L1501" t="str">
        <f>VLOOKUP(D1501,Products!$A:$F,3,FALSE)</f>
        <v>Electronics</v>
      </c>
      <c r="M1501" t="b">
        <f>VLOOKUP(D1501,Products!$A:$F,6,FALSE)</f>
        <v>1</v>
      </c>
      <c r="N1501">
        <f>VLOOKUP(D1501,Products!$A:$F,4,FALSE)</f>
        <v>1559</v>
      </c>
      <c r="O1501" t="str">
        <f>VLOOKUP(C1501,Customers!$A:$F,5,FALSE)</f>
        <v>Retail</v>
      </c>
      <c r="P1501">
        <f>VLOOKUP(C1501,Customers!$A:$F,3,FALSE)</f>
        <v>49</v>
      </c>
      <c r="Q1501" t="str">
        <f>VLOOKUP(E1501,Sales_Reps!$A:$E,3,FALSE)</f>
        <v>West</v>
      </c>
      <c r="R1501" t="str">
        <f>VLOOKUP(E1501,Sales_Reps!$A:$E,2,FALSE)</f>
        <v>Preeti Shah</v>
      </c>
      <c r="S1501">
        <f t="shared" si="23"/>
        <v>0.59715762273901807</v>
      </c>
    </row>
    <row r="1502" spans="1:19" x14ac:dyDescent="0.3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  <c r="L1502" t="str">
        <f>VLOOKUP(D1502,Products!$A:$F,3,FALSE)</f>
        <v>Home</v>
      </c>
      <c r="M1502" t="b">
        <f>VLOOKUP(D1502,Products!$A:$F,6,FALSE)</f>
        <v>1</v>
      </c>
      <c r="N1502">
        <f>VLOOKUP(D1502,Products!$A:$F,4,FALSE)</f>
        <v>288</v>
      </c>
      <c r="O1502" t="str">
        <f>VLOOKUP(C1502,Customers!$A:$F,5,FALSE)</f>
        <v>Corporate</v>
      </c>
      <c r="P1502">
        <f>VLOOKUP(C1502,Customers!$A:$F,3,FALSE)</f>
        <v>40</v>
      </c>
      <c r="Q1502" t="str">
        <f>VLOOKUP(E1502,Sales_Reps!$A:$E,3,FALSE)</f>
        <v>East</v>
      </c>
      <c r="R1502" t="str">
        <f>VLOOKUP(E1502,Sales_Reps!$A:$E,2,FALSE)</f>
        <v>Gaurav Desai</v>
      </c>
      <c r="S1502">
        <f t="shared" si="23"/>
        <v>0.22162162162162163</v>
      </c>
    </row>
    <row r="1503" spans="1:19" x14ac:dyDescent="0.3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  <c r="L1503" t="str">
        <f>VLOOKUP(D1503,Products!$A:$F,3,FALSE)</f>
        <v>Sports</v>
      </c>
      <c r="M1503" t="b">
        <f>VLOOKUP(D1503,Products!$A:$F,6,FALSE)</f>
        <v>1</v>
      </c>
      <c r="N1503">
        <f>VLOOKUP(D1503,Products!$A:$F,4,FALSE)</f>
        <v>147</v>
      </c>
      <c r="O1503" t="str">
        <f>VLOOKUP(C1503,Customers!$A:$F,5,FALSE)</f>
        <v>Retail</v>
      </c>
      <c r="P1503">
        <f>VLOOKUP(C1503,Customers!$A:$F,3,FALSE)</f>
        <v>42</v>
      </c>
      <c r="Q1503" t="str">
        <f>VLOOKUP(E1503,Sales_Reps!$A:$E,3,FALSE)</f>
        <v>West</v>
      </c>
      <c r="R1503" t="str">
        <f>VLOOKUP(E1503,Sales_Reps!$A:$E,2,FALSE)</f>
        <v>Ramesh Bhatt</v>
      </c>
      <c r="S1503">
        <f t="shared" si="23"/>
        <v>0.22631578947368422</v>
      </c>
    </row>
    <row r="1504" spans="1:19" x14ac:dyDescent="0.3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  <c r="L1504" t="str">
        <f>VLOOKUP(D1504,Products!$A:$F,3,FALSE)</f>
        <v>Electronics</v>
      </c>
      <c r="M1504" t="b">
        <f>VLOOKUP(D1504,Products!$A:$F,6,FALSE)</f>
        <v>1</v>
      </c>
      <c r="N1504">
        <f>VLOOKUP(D1504,Products!$A:$F,4,FALSE)</f>
        <v>861</v>
      </c>
      <c r="O1504" t="str">
        <f>VLOOKUP(C1504,Customers!$A:$F,5,FALSE)</f>
        <v>Retail</v>
      </c>
      <c r="P1504">
        <f>VLOOKUP(C1504,Customers!$A:$F,3,FALSE)</f>
        <v>39</v>
      </c>
      <c r="Q1504" t="str">
        <f>VLOOKUP(E1504,Sales_Reps!$A:$E,3,FALSE)</f>
        <v>South</v>
      </c>
      <c r="R1504" t="str">
        <f>VLOOKUP(E1504,Sales_Reps!$A:$E,2,FALSE)</f>
        <v>Anil Verma</v>
      </c>
      <c r="S1504">
        <f t="shared" si="23"/>
        <v>0.39790209790209791</v>
      </c>
    </row>
    <row r="1505" spans="1:19" x14ac:dyDescent="0.3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  <c r="L1505" t="str">
        <f>VLOOKUP(D1505,Products!$A:$F,3,FALSE)</f>
        <v>Sports</v>
      </c>
      <c r="M1505" t="b">
        <f>VLOOKUP(D1505,Products!$A:$F,6,FALSE)</f>
        <v>0</v>
      </c>
      <c r="N1505">
        <f>VLOOKUP(D1505,Products!$A:$F,4,FALSE)</f>
        <v>302</v>
      </c>
      <c r="O1505" t="str">
        <f>VLOOKUP(C1505,Customers!$A:$F,5,FALSE)</f>
        <v>Corporate</v>
      </c>
      <c r="P1505">
        <f>VLOOKUP(C1505,Customers!$A:$F,3,FALSE)</f>
        <v>35</v>
      </c>
      <c r="Q1505" t="str">
        <f>VLOOKUP(E1505,Sales_Reps!$A:$E,3,FALSE)</f>
        <v>East</v>
      </c>
      <c r="R1505" t="str">
        <f>VLOOKUP(E1505,Sales_Reps!$A:$E,2,FALSE)</f>
        <v>Meera Iyer</v>
      </c>
      <c r="S1505">
        <f t="shared" si="23"/>
        <v>0.35744680851063831</v>
      </c>
    </row>
    <row r="1506" spans="1:19" x14ac:dyDescent="0.3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  <c r="L1506" t="str">
        <f>VLOOKUP(D1506,Products!$A:$F,3,FALSE)</f>
        <v>Apparel</v>
      </c>
      <c r="M1506" t="b">
        <f>VLOOKUP(D1506,Products!$A:$F,6,FALSE)</f>
        <v>1</v>
      </c>
      <c r="N1506">
        <f>VLOOKUP(D1506,Products!$A:$F,4,FALSE)</f>
        <v>2629</v>
      </c>
      <c r="O1506" t="str">
        <f>VLOOKUP(C1506,Customers!$A:$F,5,FALSE)</f>
        <v>Retail</v>
      </c>
      <c r="P1506">
        <f>VLOOKUP(C1506,Customers!$A:$F,3,FALSE)</f>
        <v>49</v>
      </c>
      <c r="Q1506" t="str">
        <f>VLOOKUP(E1506,Sales_Reps!$A:$E,3,FALSE)</f>
        <v>North</v>
      </c>
      <c r="R1506" t="str">
        <f>VLOOKUP(E1506,Sales_Reps!$A:$E,2,FALSE)</f>
        <v>Priya Singh</v>
      </c>
      <c r="S1506">
        <f t="shared" si="23"/>
        <v>0.26151685393258428</v>
      </c>
    </row>
    <row r="1507" spans="1:19" x14ac:dyDescent="0.3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  <c r="L1507" t="str">
        <f>VLOOKUP(D1507,Products!$A:$F,3,FALSE)</f>
        <v>Beauty</v>
      </c>
      <c r="M1507" t="b">
        <f>VLOOKUP(D1507,Products!$A:$F,6,FALSE)</f>
        <v>1</v>
      </c>
      <c r="N1507">
        <f>VLOOKUP(D1507,Products!$A:$F,4,FALSE)</f>
        <v>2768</v>
      </c>
      <c r="O1507" t="str">
        <f>VLOOKUP(C1507,Customers!$A:$F,5,FALSE)</f>
        <v>Retail</v>
      </c>
      <c r="P1507">
        <f>VLOOKUP(C1507,Customers!$A:$F,3,FALSE)</f>
        <v>49</v>
      </c>
      <c r="Q1507" t="str">
        <f>VLOOKUP(E1507,Sales_Reps!$A:$E,3,FALSE)</f>
        <v>South</v>
      </c>
      <c r="R1507" t="str">
        <f>VLOOKUP(E1507,Sales_Reps!$A:$E,2,FALSE)</f>
        <v>Pooja Nair</v>
      </c>
      <c r="S1507">
        <f t="shared" si="23"/>
        <v>0.43278688524590164</v>
      </c>
    </row>
    <row r="1508" spans="1:19" x14ac:dyDescent="0.3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  <c r="L1508" t="str">
        <f>VLOOKUP(D1508,Products!$A:$F,3,FALSE)</f>
        <v>Electronics</v>
      </c>
      <c r="M1508" t="b">
        <f>VLOOKUP(D1508,Products!$A:$F,6,FALSE)</f>
        <v>1</v>
      </c>
      <c r="N1508">
        <f>VLOOKUP(D1508,Products!$A:$F,4,FALSE)</f>
        <v>1665</v>
      </c>
      <c r="O1508" t="str">
        <f>VLOOKUP(C1508,Customers!$A:$F,5,FALSE)</f>
        <v>Retail</v>
      </c>
      <c r="P1508">
        <f>VLOOKUP(C1508,Customers!$A:$F,3,FALSE)</f>
        <v>26</v>
      </c>
      <c r="Q1508" t="str">
        <f>VLOOKUP(E1508,Sales_Reps!$A:$E,3,FALSE)</f>
        <v>South</v>
      </c>
      <c r="R1508" t="str">
        <f>VLOOKUP(E1508,Sales_Reps!$A:$E,2,FALSE)</f>
        <v>Manoj Patel</v>
      </c>
      <c r="S1508">
        <f t="shared" si="23"/>
        <v>0.53361344537815125</v>
      </c>
    </row>
    <row r="1509" spans="1:19" x14ac:dyDescent="0.3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  <c r="L1509" t="str">
        <f>VLOOKUP(D1509,Products!$A:$F,3,FALSE)</f>
        <v>Sports</v>
      </c>
      <c r="M1509" t="b">
        <f>VLOOKUP(D1509,Products!$A:$F,6,FALSE)</f>
        <v>1</v>
      </c>
      <c r="N1509">
        <f>VLOOKUP(D1509,Products!$A:$F,4,FALSE)</f>
        <v>2467</v>
      </c>
      <c r="O1509" t="str">
        <f>VLOOKUP(C1509,Customers!$A:$F,5,FALSE)</f>
        <v>Retail</v>
      </c>
      <c r="P1509">
        <f>VLOOKUP(C1509,Customers!$A:$F,3,FALSE)</f>
        <v>34</v>
      </c>
      <c r="Q1509" t="str">
        <f>VLOOKUP(E1509,Sales_Reps!$A:$E,3,FALSE)</f>
        <v>West</v>
      </c>
      <c r="R1509" t="str">
        <f>VLOOKUP(E1509,Sales_Reps!$A:$E,2,FALSE)</f>
        <v>Ashok Reddy</v>
      </c>
      <c r="S1509">
        <f t="shared" si="23"/>
        <v>0.28492753623188405</v>
      </c>
    </row>
    <row r="1510" spans="1:19" x14ac:dyDescent="0.3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  <c r="L1510" t="str">
        <f>VLOOKUP(D1510,Products!$A:$F,3,FALSE)</f>
        <v>Home</v>
      </c>
      <c r="M1510" t="b">
        <f>VLOOKUP(D1510,Products!$A:$F,6,FALSE)</f>
        <v>1</v>
      </c>
      <c r="N1510">
        <f>VLOOKUP(D1510,Products!$A:$F,4,FALSE)</f>
        <v>519</v>
      </c>
      <c r="O1510" t="str">
        <f>VLOOKUP(C1510,Customers!$A:$F,5,FALSE)</f>
        <v>Corporate</v>
      </c>
      <c r="P1510">
        <f>VLOOKUP(C1510,Customers!$A:$F,3,FALSE)</f>
        <v>55</v>
      </c>
      <c r="Q1510" t="str">
        <f>VLOOKUP(E1510,Sales_Reps!$A:$E,3,FALSE)</f>
        <v>North</v>
      </c>
      <c r="R1510" t="str">
        <f>VLOOKUP(E1510,Sales_Reps!$A:$E,2,FALSE)</f>
        <v>Sunita Malhotra</v>
      </c>
      <c r="S1510">
        <f t="shared" si="23"/>
        <v>0.51944444444444449</v>
      </c>
    </row>
    <row r="1511" spans="1:19" x14ac:dyDescent="0.3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  <c r="L1511" t="str">
        <f>VLOOKUP(D1511,Products!$A:$F,3,FALSE)</f>
        <v>Beauty</v>
      </c>
      <c r="M1511" t="b">
        <f>VLOOKUP(D1511,Products!$A:$F,6,FALSE)</f>
        <v>0</v>
      </c>
      <c r="N1511">
        <f>VLOOKUP(D1511,Products!$A:$F,4,FALSE)</f>
        <v>647</v>
      </c>
      <c r="O1511" t="str">
        <f>VLOOKUP(C1511,Customers!$A:$F,5,FALSE)</f>
        <v>SMB</v>
      </c>
      <c r="P1511">
        <f>VLOOKUP(C1511,Customers!$A:$F,3,FALSE)</f>
        <v>59</v>
      </c>
      <c r="Q1511" t="str">
        <f>VLOOKUP(E1511,Sales_Reps!$A:$E,3,FALSE)</f>
        <v>West</v>
      </c>
      <c r="R1511" t="str">
        <f>VLOOKUP(E1511,Sales_Reps!$A:$E,2,FALSE)</f>
        <v>Ashok Reddy</v>
      </c>
      <c r="S1511">
        <f t="shared" si="23"/>
        <v>0.57987012987012987</v>
      </c>
    </row>
    <row r="1512" spans="1:19" x14ac:dyDescent="0.3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  <c r="L1512" t="str">
        <f>VLOOKUP(D1512,Products!$A:$F,3,FALSE)</f>
        <v>Apparel</v>
      </c>
      <c r="M1512" t="b">
        <f>VLOOKUP(D1512,Products!$A:$F,6,FALSE)</f>
        <v>1</v>
      </c>
      <c r="N1512">
        <f>VLOOKUP(D1512,Products!$A:$F,4,FALSE)</f>
        <v>1962</v>
      </c>
      <c r="O1512" t="e">
        <f>VLOOKUP(C1512,Customers!$A:$F,5,FALSE)</f>
        <v>#N/A</v>
      </c>
      <c r="P1512" t="e">
        <f>VLOOKUP(C1512,Customers!$A:$F,3,FALSE)</f>
        <v>#N/A</v>
      </c>
      <c r="Q1512" t="str">
        <f>VLOOKUP(E1512,Sales_Reps!$A:$E,3,FALSE)</f>
        <v>South</v>
      </c>
      <c r="R1512" t="str">
        <f>VLOOKUP(E1512,Sales_Reps!$A:$E,2,FALSE)</f>
        <v>Sanjay Kapoor</v>
      </c>
      <c r="S1512">
        <f t="shared" si="23"/>
        <v>0.2786764705882353</v>
      </c>
    </row>
    <row r="1513" spans="1:19" x14ac:dyDescent="0.3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  <c r="L1513" t="str">
        <f>VLOOKUP(D1513,Products!$A:$F,3,FALSE)</f>
        <v>Home</v>
      </c>
      <c r="M1513" t="b">
        <f>VLOOKUP(D1513,Products!$A:$F,6,FALSE)</f>
        <v>1</v>
      </c>
      <c r="N1513">
        <f>VLOOKUP(D1513,Products!$A:$F,4,FALSE)</f>
        <v>2459</v>
      </c>
      <c r="O1513" t="str">
        <f>VLOOKUP(C1513,Customers!$A:$F,5,FALSE)</f>
        <v>Retail</v>
      </c>
      <c r="P1513">
        <f>VLOOKUP(C1513,Customers!$A:$F,3,FALSE)</f>
        <v>27</v>
      </c>
      <c r="Q1513" t="str">
        <f>VLOOKUP(E1513,Sales_Reps!$A:$E,3,FALSE)</f>
        <v>North</v>
      </c>
      <c r="R1513" t="str">
        <f>VLOOKUP(E1513,Sales_Reps!$A:$E,2,FALSE)</f>
        <v>Vikram Patel</v>
      </c>
      <c r="S1513">
        <f t="shared" si="23"/>
        <v>0.51594488188976373</v>
      </c>
    </row>
    <row r="1514" spans="1:19" x14ac:dyDescent="0.3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  <c r="L1514" t="str">
        <f>VLOOKUP(D1514,Products!$A:$F,3,FALSE)</f>
        <v>Apparel</v>
      </c>
      <c r="M1514" t="b">
        <f>VLOOKUP(D1514,Products!$A:$F,6,FALSE)</f>
        <v>1</v>
      </c>
      <c r="N1514">
        <f>VLOOKUP(D1514,Products!$A:$F,4,FALSE)</f>
        <v>396</v>
      </c>
      <c r="O1514" t="e">
        <f>VLOOKUP(C1514,Customers!$A:$F,5,FALSE)</f>
        <v>#N/A</v>
      </c>
      <c r="P1514" t="e">
        <f>VLOOKUP(C1514,Customers!$A:$F,3,FALSE)</f>
        <v>#N/A</v>
      </c>
      <c r="Q1514" t="str">
        <f>VLOOKUP(E1514,Sales_Reps!$A:$E,3,FALSE)</f>
        <v>North</v>
      </c>
      <c r="R1514" t="str">
        <f>VLOOKUP(E1514,Sales_Reps!$A:$E,2,FALSE)</f>
        <v>Kavita Patel</v>
      </c>
      <c r="S1514">
        <f t="shared" si="23"/>
        <v>0.36129032258064514</v>
      </c>
    </row>
    <row r="1515" spans="1:19" x14ac:dyDescent="0.3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  <c r="L1515" t="str">
        <f>VLOOKUP(D1515,Products!$A:$F,3,FALSE)</f>
        <v>Apparel</v>
      </c>
      <c r="M1515" t="b">
        <f>VLOOKUP(D1515,Products!$A:$F,6,FALSE)</f>
        <v>1</v>
      </c>
      <c r="N1515">
        <f>VLOOKUP(D1515,Products!$A:$F,4,FALSE)</f>
        <v>1173</v>
      </c>
      <c r="O1515" t="str">
        <f>VLOOKUP(C1515,Customers!$A:$F,5,FALSE)</f>
        <v>SMB</v>
      </c>
      <c r="P1515">
        <f>VLOOKUP(C1515,Customers!$A:$F,3,FALSE)</f>
        <v>54</v>
      </c>
      <c r="Q1515" t="str">
        <f>VLOOKUP(E1515,Sales_Reps!$A:$E,3,FALSE)</f>
        <v>North</v>
      </c>
      <c r="R1515" t="str">
        <f>VLOOKUP(E1515,Sales_Reps!$A:$E,2,FALSE)</f>
        <v>Amit Singh</v>
      </c>
      <c r="S1515">
        <f t="shared" si="23"/>
        <v>0.52701612903225803</v>
      </c>
    </row>
    <row r="1516" spans="1:19" x14ac:dyDescent="0.3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  <c r="L1516" t="str">
        <f>VLOOKUP(D1516,Products!$A:$F,3,FALSE)</f>
        <v>Sports</v>
      </c>
      <c r="M1516" t="b">
        <f>VLOOKUP(D1516,Products!$A:$F,6,FALSE)</f>
        <v>1</v>
      </c>
      <c r="N1516">
        <f>VLOOKUP(D1516,Products!$A:$F,4,FALSE)</f>
        <v>516</v>
      </c>
      <c r="O1516" t="str">
        <f>VLOOKUP(C1516,Customers!$A:$F,5,FALSE)</f>
        <v>Corporate</v>
      </c>
      <c r="P1516">
        <f>VLOOKUP(C1516,Customers!$A:$F,3,FALSE)</f>
        <v>55</v>
      </c>
      <c r="Q1516" t="str">
        <f>VLOOKUP(E1516,Sales_Reps!$A:$E,3,FALSE)</f>
        <v>North</v>
      </c>
      <c r="R1516" t="str">
        <f>VLOOKUP(E1516,Sales_Reps!$A:$E,2,FALSE)</f>
        <v>Vikram Patel</v>
      </c>
      <c r="S1516">
        <f t="shared" si="23"/>
        <v>0.4891089108910891</v>
      </c>
    </row>
    <row r="1517" spans="1:19" x14ac:dyDescent="0.3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  <c r="L1517" t="str">
        <f>VLOOKUP(D1517,Products!$A:$F,3,FALSE)</f>
        <v>Home</v>
      </c>
      <c r="M1517" t="b">
        <f>VLOOKUP(D1517,Products!$A:$F,6,FALSE)</f>
        <v>1</v>
      </c>
      <c r="N1517">
        <f>VLOOKUP(D1517,Products!$A:$F,4,FALSE)</f>
        <v>519</v>
      </c>
      <c r="O1517" t="str">
        <f>VLOOKUP(C1517,Customers!$A:$F,5,FALSE)</f>
        <v>Retail</v>
      </c>
      <c r="P1517">
        <f>VLOOKUP(C1517,Customers!$A:$F,3,FALSE)</f>
        <v>22</v>
      </c>
      <c r="Q1517" t="str">
        <f>VLOOKUP(E1517,Sales_Reps!$A:$E,3,FALSE)</f>
        <v>North</v>
      </c>
      <c r="R1517" t="str">
        <f>VLOOKUP(E1517,Sales_Reps!$A:$E,2,FALSE)</f>
        <v>Priya Singh</v>
      </c>
      <c r="S1517">
        <f t="shared" si="23"/>
        <v>0.51944444444444449</v>
      </c>
    </row>
    <row r="1518" spans="1:19" x14ac:dyDescent="0.3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  <c r="L1518" t="str">
        <f>VLOOKUP(D1518,Products!$A:$F,3,FALSE)</f>
        <v>Sports</v>
      </c>
      <c r="M1518" t="b">
        <f>VLOOKUP(D1518,Products!$A:$F,6,FALSE)</f>
        <v>0</v>
      </c>
      <c r="N1518">
        <f>VLOOKUP(D1518,Products!$A:$F,4,FALSE)</f>
        <v>302</v>
      </c>
      <c r="O1518" t="str">
        <f>VLOOKUP(C1518,Customers!$A:$F,5,FALSE)</f>
        <v>Retail</v>
      </c>
      <c r="P1518">
        <f>VLOOKUP(C1518,Customers!$A:$F,3,FALSE)</f>
        <v>53</v>
      </c>
      <c r="Q1518" t="str">
        <f>VLOOKUP(E1518,Sales_Reps!$A:$E,3,FALSE)</f>
        <v>West</v>
      </c>
      <c r="R1518" t="str">
        <f>VLOOKUP(E1518,Sales_Reps!$A:$E,2,FALSE)</f>
        <v>Ashok Reddy</v>
      </c>
      <c r="S1518">
        <f t="shared" si="23"/>
        <v>0.35744680851063831</v>
      </c>
    </row>
    <row r="1519" spans="1:19" x14ac:dyDescent="0.3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  <c r="L1519" t="str">
        <f>VLOOKUP(D1519,Products!$A:$F,3,FALSE)</f>
        <v>Electronics</v>
      </c>
      <c r="M1519" t="b">
        <f>VLOOKUP(D1519,Products!$A:$F,6,FALSE)</f>
        <v>1</v>
      </c>
      <c r="N1519">
        <f>VLOOKUP(D1519,Products!$A:$F,4,FALSE)</f>
        <v>2865</v>
      </c>
      <c r="O1519" t="str">
        <f>VLOOKUP(C1519,Customers!$A:$F,5,FALSE)</f>
        <v>Retail</v>
      </c>
      <c r="P1519">
        <f>VLOOKUP(C1519,Customers!$A:$F,3,FALSE)</f>
        <v>25</v>
      </c>
      <c r="Q1519" t="str">
        <f>VLOOKUP(E1519,Sales_Reps!$A:$E,3,FALSE)</f>
        <v>East</v>
      </c>
      <c r="R1519" t="str">
        <f>VLOOKUP(E1519,Sales_Reps!$A:$E,2,FALSE)</f>
        <v>Meera Iyer</v>
      </c>
      <c r="S1519">
        <f t="shared" si="23"/>
        <v>0.27833753148614609</v>
      </c>
    </row>
    <row r="1520" spans="1:19" x14ac:dyDescent="0.3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  <c r="L1520" t="str">
        <f>VLOOKUP(D1520,Products!$A:$F,3,FALSE)</f>
        <v>Beauty</v>
      </c>
      <c r="M1520" t="b">
        <f>VLOOKUP(D1520,Products!$A:$F,6,FALSE)</f>
        <v>1</v>
      </c>
      <c r="N1520">
        <f>VLOOKUP(D1520,Products!$A:$F,4,FALSE)</f>
        <v>1222</v>
      </c>
      <c r="O1520" t="str">
        <f>VLOOKUP(C1520,Customers!$A:$F,5,FALSE)</f>
        <v>Retail</v>
      </c>
      <c r="P1520">
        <f>VLOOKUP(C1520,Customers!$A:$F,3,FALSE)</f>
        <v>29</v>
      </c>
      <c r="Q1520" t="str">
        <f>VLOOKUP(E1520,Sales_Reps!$A:$E,3,FALSE)</f>
        <v>South</v>
      </c>
      <c r="R1520" t="str">
        <f>VLOOKUP(E1520,Sales_Reps!$A:$E,2,FALSE)</f>
        <v>Divya Rao</v>
      </c>
      <c r="S1520">
        <f t="shared" si="23"/>
        <v>0.2593939393939394</v>
      </c>
    </row>
    <row r="1521" spans="1:19" x14ac:dyDescent="0.3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  <c r="L1521" t="str">
        <f>VLOOKUP(D1521,Products!$A:$F,3,FALSE)</f>
        <v>Beauty</v>
      </c>
      <c r="M1521" t="b">
        <f>VLOOKUP(D1521,Products!$A:$F,6,FALSE)</f>
        <v>1</v>
      </c>
      <c r="N1521">
        <f>VLOOKUP(D1521,Products!$A:$F,4,FALSE)</f>
        <v>1728</v>
      </c>
      <c r="O1521" t="str">
        <f>VLOOKUP(C1521,Customers!$A:$F,5,FALSE)</f>
        <v>Retail</v>
      </c>
      <c r="P1521">
        <f>VLOOKUP(C1521,Customers!$A:$F,3,FALSE)</f>
        <v>31</v>
      </c>
      <c r="Q1521" t="str">
        <f>VLOOKUP(E1521,Sales_Reps!$A:$E,3,FALSE)</f>
        <v>North</v>
      </c>
      <c r="R1521" t="str">
        <f>VLOOKUP(E1521,Sales_Reps!$A:$E,2,FALSE)</f>
        <v>Neha Desai</v>
      </c>
      <c r="S1521">
        <f t="shared" si="23"/>
        <v>0.48417910447761192</v>
      </c>
    </row>
    <row r="1522" spans="1:19" x14ac:dyDescent="0.3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  <c r="L1522" t="str">
        <f>VLOOKUP(D1522,Products!$A:$F,3,FALSE)</f>
        <v>Electronics</v>
      </c>
      <c r="M1522" t="b">
        <f>VLOOKUP(D1522,Products!$A:$F,6,FALSE)</f>
        <v>1</v>
      </c>
      <c r="N1522">
        <f>VLOOKUP(D1522,Products!$A:$F,4,FALSE)</f>
        <v>2865</v>
      </c>
      <c r="O1522" t="str">
        <f>VLOOKUP(C1522,Customers!$A:$F,5,FALSE)</f>
        <v>Corporate</v>
      </c>
      <c r="P1522">
        <f>VLOOKUP(C1522,Customers!$A:$F,3,FALSE)</f>
        <v>55</v>
      </c>
      <c r="Q1522" t="str">
        <f>VLOOKUP(E1522,Sales_Reps!$A:$E,3,FALSE)</f>
        <v>East</v>
      </c>
      <c r="R1522" t="str">
        <f>VLOOKUP(E1522,Sales_Reps!$A:$E,2,FALSE)</f>
        <v>Vinod Kumar</v>
      </c>
      <c r="S1522">
        <f t="shared" si="23"/>
        <v>0.27833753148614609</v>
      </c>
    </row>
    <row r="1523" spans="1:19" x14ac:dyDescent="0.3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  <c r="L1523" t="str">
        <f>VLOOKUP(D1523,Products!$A:$F,3,FALSE)</f>
        <v>Grocery</v>
      </c>
      <c r="M1523" t="b">
        <f>VLOOKUP(D1523,Products!$A:$F,6,FALSE)</f>
        <v>1</v>
      </c>
      <c r="N1523">
        <f>VLOOKUP(D1523,Products!$A:$F,4,FALSE)</f>
        <v>2436</v>
      </c>
      <c r="O1523" t="str">
        <f>VLOOKUP(C1523,Customers!$A:$F,5,FALSE)</f>
        <v>Retail</v>
      </c>
      <c r="P1523">
        <f>VLOOKUP(C1523,Customers!$A:$F,3,FALSE)</f>
        <v>36</v>
      </c>
      <c r="Q1523" t="str">
        <f>VLOOKUP(E1523,Sales_Reps!$A:$E,3,FALSE)</f>
        <v>East</v>
      </c>
      <c r="R1523" t="str">
        <f>VLOOKUP(E1523,Sales_Reps!$A:$E,2,FALSE)</f>
        <v>Shalini Patel</v>
      </c>
      <c r="S1523">
        <f t="shared" si="23"/>
        <v>0.35555555555555557</v>
      </c>
    </row>
    <row r="1524" spans="1:19" x14ac:dyDescent="0.3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  <c r="L1524" t="str">
        <f>VLOOKUP(D1524,Products!$A:$F,3,FALSE)</f>
        <v>Apparel</v>
      </c>
      <c r="M1524" t="b">
        <f>VLOOKUP(D1524,Products!$A:$F,6,FALSE)</f>
        <v>1</v>
      </c>
      <c r="N1524">
        <f>VLOOKUP(D1524,Products!$A:$F,4,FALSE)</f>
        <v>391</v>
      </c>
      <c r="O1524" t="str">
        <f>VLOOKUP(C1524,Customers!$A:$F,5,FALSE)</f>
        <v>Retail</v>
      </c>
      <c r="P1524">
        <f>VLOOKUP(C1524,Customers!$A:$F,3,FALSE)</f>
        <v>49</v>
      </c>
      <c r="Q1524" t="str">
        <f>VLOOKUP(E1524,Sales_Reps!$A:$E,3,FALSE)</f>
        <v>South</v>
      </c>
      <c r="R1524" t="str">
        <f>VLOOKUP(E1524,Sales_Reps!$A:$E,2,FALSE)</f>
        <v>Sanjay Kapoor</v>
      </c>
      <c r="S1524">
        <f t="shared" si="23"/>
        <v>0.52317073170731709</v>
      </c>
    </row>
    <row r="1525" spans="1:19" x14ac:dyDescent="0.3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  <c r="L1525" t="str">
        <f>VLOOKUP(D1525,Products!$A:$F,3,FALSE)</f>
        <v>Beauty</v>
      </c>
      <c r="M1525" t="b">
        <f>VLOOKUP(D1525,Products!$A:$F,6,FALSE)</f>
        <v>1</v>
      </c>
      <c r="N1525">
        <f>VLOOKUP(D1525,Products!$A:$F,4,FALSE)</f>
        <v>1222</v>
      </c>
      <c r="O1525" t="str">
        <f>VLOOKUP(C1525,Customers!$A:$F,5,FALSE)</f>
        <v>Retail</v>
      </c>
      <c r="P1525">
        <f>VLOOKUP(C1525,Customers!$A:$F,3,FALSE)</f>
        <v>56</v>
      </c>
      <c r="Q1525" t="str">
        <f>VLOOKUP(E1525,Sales_Reps!$A:$E,3,FALSE)</f>
        <v>East</v>
      </c>
      <c r="R1525" t="str">
        <f>VLOOKUP(E1525,Sales_Reps!$A:$E,2,FALSE)</f>
        <v>Nisha Menon</v>
      </c>
      <c r="S1525">
        <f t="shared" si="23"/>
        <v>0.2593939393939394</v>
      </c>
    </row>
    <row r="1526" spans="1:19" x14ac:dyDescent="0.3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  <c r="L1526" t="str">
        <f>VLOOKUP(D1526,Products!$A:$F,3,FALSE)</f>
        <v>Grocery</v>
      </c>
      <c r="M1526" t="b">
        <f>VLOOKUP(D1526,Products!$A:$F,6,FALSE)</f>
        <v>1</v>
      </c>
      <c r="N1526">
        <f>VLOOKUP(D1526,Products!$A:$F,4,FALSE)</f>
        <v>2436</v>
      </c>
      <c r="O1526" t="str">
        <f>VLOOKUP(C1526,Customers!$A:$F,5,FALSE)</f>
        <v>Retail</v>
      </c>
      <c r="P1526">
        <f>VLOOKUP(C1526,Customers!$A:$F,3,FALSE)</f>
        <v>25</v>
      </c>
      <c r="Q1526" t="str">
        <f>VLOOKUP(E1526,Sales_Reps!$A:$E,3,FALSE)</f>
        <v>East</v>
      </c>
      <c r="R1526" t="str">
        <f>VLOOKUP(E1526,Sales_Reps!$A:$E,2,FALSE)</f>
        <v>Gaurav Desai</v>
      </c>
      <c r="S1526">
        <f t="shared" si="23"/>
        <v>0.35555555555555557</v>
      </c>
    </row>
    <row r="1527" spans="1:19" x14ac:dyDescent="0.3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  <c r="L1527" t="str">
        <f>VLOOKUP(D1527,Products!$A:$F,3,FALSE)</f>
        <v>Grocery</v>
      </c>
      <c r="M1527" t="b">
        <f>VLOOKUP(D1527,Products!$A:$F,6,FALSE)</f>
        <v>1</v>
      </c>
      <c r="N1527">
        <f>VLOOKUP(D1527,Products!$A:$F,4,FALSE)</f>
        <v>1010</v>
      </c>
      <c r="O1527" t="str">
        <f>VLOOKUP(C1527,Customers!$A:$F,5,FALSE)</f>
        <v>Retail</v>
      </c>
      <c r="P1527">
        <f>VLOOKUP(C1527,Customers!$A:$F,3,FALSE)</f>
        <v>41</v>
      </c>
      <c r="Q1527" t="str">
        <f>VLOOKUP(E1527,Sales_Reps!$A:$E,3,FALSE)</f>
        <v>West</v>
      </c>
      <c r="R1527" t="str">
        <f>VLOOKUP(E1527,Sales_Reps!$A:$E,2,FALSE)</f>
        <v>Ramesh Bhatt</v>
      </c>
      <c r="S1527">
        <f t="shared" si="23"/>
        <v>0.54298642533936647</v>
      </c>
    </row>
    <row r="1528" spans="1:19" x14ac:dyDescent="0.3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  <c r="L1528" t="str">
        <f>VLOOKUP(D1528,Products!$A:$F,3,FALSE)</f>
        <v>Sports</v>
      </c>
      <c r="M1528" t="b">
        <f>VLOOKUP(D1528,Products!$A:$F,6,FALSE)</f>
        <v>1</v>
      </c>
      <c r="N1528">
        <f>VLOOKUP(D1528,Products!$A:$F,4,FALSE)</f>
        <v>2827</v>
      </c>
      <c r="O1528" t="str">
        <f>VLOOKUP(C1528,Customers!$A:$F,5,FALSE)</f>
        <v>Retail</v>
      </c>
      <c r="P1528">
        <f>VLOOKUP(C1528,Customers!$A:$F,3,FALSE)</f>
        <v>27</v>
      </c>
      <c r="Q1528" t="str">
        <f>VLOOKUP(E1528,Sales_Reps!$A:$E,3,FALSE)</f>
        <v>South</v>
      </c>
      <c r="R1528" t="str">
        <f>VLOOKUP(E1528,Sales_Reps!$A:$E,2,FALSE)</f>
        <v>Divya Rao</v>
      </c>
      <c r="S1528">
        <f t="shared" si="23"/>
        <v>0.5926512968299712</v>
      </c>
    </row>
    <row r="1529" spans="1:19" x14ac:dyDescent="0.3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  <c r="L1529" t="str">
        <f>VLOOKUP(D1529,Products!$A:$F,3,FALSE)</f>
        <v>Beauty</v>
      </c>
      <c r="M1529" t="b">
        <f>VLOOKUP(D1529,Products!$A:$F,6,FALSE)</f>
        <v>1</v>
      </c>
      <c r="N1529">
        <f>VLOOKUP(D1529,Products!$A:$F,4,FALSE)</f>
        <v>1219</v>
      </c>
      <c r="O1529" t="str">
        <f>VLOOKUP(C1529,Customers!$A:$F,5,FALSE)</f>
        <v>SMB</v>
      </c>
      <c r="P1529">
        <f>VLOOKUP(C1529,Customers!$A:$F,3,FALSE)</f>
        <v>62</v>
      </c>
      <c r="Q1529" t="str">
        <f>VLOOKUP(E1529,Sales_Reps!$A:$E,3,FALSE)</f>
        <v>North</v>
      </c>
      <c r="R1529" t="str">
        <f>VLOOKUP(E1529,Sales_Reps!$A:$E,2,FALSE)</f>
        <v>Vikram Patel</v>
      </c>
      <c r="S1529">
        <f t="shared" si="23"/>
        <v>0.46768558951965067</v>
      </c>
    </row>
    <row r="1530" spans="1:19" x14ac:dyDescent="0.3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  <c r="L1530" t="str">
        <f>VLOOKUP(D1530,Products!$A:$F,3,FALSE)</f>
        <v>Home</v>
      </c>
      <c r="M1530" t="b">
        <f>VLOOKUP(D1530,Products!$A:$F,6,FALSE)</f>
        <v>1</v>
      </c>
      <c r="N1530">
        <f>VLOOKUP(D1530,Products!$A:$F,4,FALSE)</f>
        <v>1143</v>
      </c>
      <c r="O1530" t="str">
        <f>VLOOKUP(C1530,Customers!$A:$F,5,FALSE)</f>
        <v>Retail</v>
      </c>
      <c r="P1530">
        <f>VLOOKUP(C1530,Customers!$A:$F,3,FALSE)</f>
        <v>26</v>
      </c>
      <c r="Q1530" t="str">
        <f>VLOOKUP(E1530,Sales_Reps!$A:$E,3,FALSE)</f>
        <v>West</v>
      </c>
      <c r="R1530" t="str">
        <f>VLOOKUP(E1530,Sales_Reps!$A:$E,2,FALSE)</f>
        <v>Ashok Reddy</v>
      </c>
      <c r="S1530">
        <f t="shared" si="23"/>
        <v>0.43694581280788175</v>
      </c>
    </row>
    <row r="1531" spans="1:19" x14ac:dyDescent="0.3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  <c r="L1531" t="str">
        <f>VLOOKUP(D1531,Products!$A:$F,3,FALSE)</f>
        <v>Electronics</v>
      </c>
      <c r="M1531" t="b">
        <f>VLOOKUP(D1531,Products!$A:$F,6,FALSE)</f>
        <v>1</v>
      </c>
      <c r="N1531">
        <f>VLOOKUP(D1531,Products!$A:$F,4,FALSE)</f>
        <v>2865</v>
      </c>
      <c r="O1531" t="str">
        <f>VLOOKUP(C1531,Customers!$A:$F,5,FALSE)</f>
        <v>SMB</v>
      </c>
      <c r="P1531">
        <f>VLOOKUP(C1531,Customers!$A:$F,3,FALSE)</f>
        <v>30</v>
      </c>
      <c r="Q1531" t="str">
        <f>VLOOKUP(E1531,Sales_Reps!$A:$E,3,FALSE)</f>
        <v>West</v>
      </c>
      <c r="R1531" t="str">
        <f>VLOOKUP(E1531,Sales_Reps!$A:$E,2,FALSE)</f>
        <v>Arun Iyer</v>
      </c>
      <c r="S1531">
        <f t="shared" si="23"/>
        <v>0.27833753148614609</v>
      </c>
    </row>
    <row r="1532" spans="1:19" x14ac:dyDescent="0.3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  <c r="L1532" t="str">
        <f>VLOOKUP(D1532,Products!$A:$F,3,FALSE)</f>
        <v>Apparel</v>
      </c>
      <c r="M1532" t="b">
        <f>VLOOKUP(D1532,Products!$A:$F,6,FALSE)</f>
        <v>1</v>
      </c>
      <c r="N1532">
        <f>VLOOKUP(D1532,Products!$A:$F,4,FALSE)</f>
        <v>391</v>
      </c>
      <c r="O1532" t="str">
        <f>VLOOKUP(C1532,Customers!$A:$F,5,FALSE)</f>
        <v>Corporate</v>
      </c>
      <c r="P1532">
        <f>VLOOKUP(C1532,Customers!$A:$F,3,FALSE)</f>
        <v>51</v>
      </c>
      <c r="Q1532" t="str">
        <f>VLOOKUP(E1532,Sales_Reps!$A:$E,3,FALSE)</f>
        <v>South</v>
      </c>
      <c r="R1532" t="str">
        <f>VLOOKUP(E1532,Sales_Reps!$A:$E,2,FALSE)</f>
        <v>Anjali Chopra</v>
      </c>
      <c r="S1532">
        <f t="shared" si="23"/>
        <v>0.52317073170731709</v>
      </c>
    </row>
    <row r="1533" spans="1:19" x14ac:dyDescent="0.3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  <c r="L1533" t="str">
        <f>VLOOKUP(D1533,Products!$A:$F,3,FALSE)</f>
        <v>Electronics</v>
      </c>
      <c r="M1533" t="b">
        <f>VLOOKUP(D1533,Products!$A:$F,6,FALSE)</f>
        <v>1</v>
      </c>
      <c r="N1533">
        <f>VLOOKUP(D1533,Products!$A:$F,4,FALSE)</f>
        <v>1559</v>
      </c>
      <c r="O1533" t="str">
        <f>VLOOKUP(C1533,Customers!$A:$F,5,FALSE)</f>
        <v>Retail</v>
      </c>
      <c r="P1533">
        <f>VLOOKUP(C1533,Customers!$A:$F,3,FALSE)</f>
        <v>31</v>
      </c>
      <c r="Q1533" t="str">
        <f>VLOOKUP(E1533,Sales_Reps!$A:$E,3,FALSE)</f>
        <v>West</v>
      </c>
      <c r="R1533" t="str">
        <f>VLOOKUP(E1533,Sales_Reps!$A:$E,2,FALSE)</f>
        <v>Ashok Reddy</v>
      </c>
      <c r="S1533">
        <f t="shared" si="23"/>
        <v>0.59715762273901807</v>
      </c>
    </row>
    <row r="1534" spans="1:19" x14ac:dyDescent="0.3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  <c r="L1534" t="str">
        <f>VLOOKUP(D1534,Products!$A:$F,3,FALSE)</f>
        <v>Grocery</v>
      </c>
      <c r="M1534" t="b">
        <f>VLOOKUP(D1534,Products!$A:$F,6,FALSE)</f>
        <v>1</v>
      </c>
      <c r="N1534">
        <f>VLOOKUP(D1534,Products!$A:$F,4,FALSE)</f>
        <v>434</v>
      </c>
      <c r="O1534" t="str">
        <f>VLOOKUP(C1534,Customers!$A:$F,5,FALSE)</f>
        <v>Retail</v>
      </c>
      <c r="P1534">
        <f>VLOOKUP(C1534,Customers!$A:$F,3,FALSE)</f>
        <v>44</v>
      </c>
      <c r="Q1534" t="str">
        <f>VLOOKUP(E1534,Sales_Reps!$A:$E,3,FALSE)</f>
        <v>East</v>
      </c>
      <c r="R1534" t="str">
        <f>VLOOKUP(E1534,Sales_Reps!$A:$E,2,FALSE)</f>
        <v>Nisha Menon</v>
      </c>
      <c r="S1534">
        <f t="shared" si="23"/>
        <v>0.5525773195876289</v>
      </c>
    </row>
    <row r="1535" spans="1:19" x14ac:dyDescent="0.3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  <c r="L1535" t="str">
        <f>VLOOKUP(D1535,Products!$A:$F,3,FALSE)</f>
        <v>Beauty</v>
      </c>
      <c r="M1535" t="b">
        <f>VLOOKUP(D1535,Products!$A:$F,6,FALSE)</f>
        <v>1</v>
      </c>
      <c r="N1535">
        <f>VLOOKUP(D1535,Products!$A:$F,4,FALSE)</f>
        <v>2768</v>
      </c>
      <c r="O1535" t="str">
        <f>VLOOKUP(C1535,Customers!$A:$F,5,FALSE)</f>
        <v>SMB</v>
      </c>
      <c r="P1535">
        <f>VLOOKUP(C1535,Customers!$A:$F,3,FALSE)</f>
        <v>43</v>
      </c>
      <c r="Q1535" t="str">
        <f>VLOOKUP(E1535,Sales_Reps!$A:$E,3,FALSE)</f>
        <v>West</v>
      </c>
      <c r="R1535" t="str">
        <f>VLOOKUP(E1535,Sales_Reps!$A:$E,2,FALSE)</f>
        <v>Ashok Reddy</v>
      </c>
      <c r="S1535">
        <f t="shared" si="23"/>
        <v>0.43278688524590164</v>
      </c>
    </row>
    <row r="1536" spans="1:19" x14ac:dyDescent="0.3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  <c r="L1536" t="str">
        <f>VLOOKUP(D1536,Products!$A:$F,3,FALSE)</f>
        <v>Grocery</v>
      </c>
      <c r="M1536" t="b">
        <f>VLOOKUP(D1536,Products!$A:$F,6,FALSE)</f>
        <v>1</v>
      </c>
      <c r="N1536">
        <f>VLOOKUP(D1536,Products!$A:$F,4,FALSE)</f>
        <v>1412</v>
      </c>
      <c r="O1536" t="str">
        <f>VLOOKUP(C1536,Customers!$A:$F,5,FALSE)</f>
        <v>Corporate</v>
      </c>
      <c r="P1536">
        <f>VLOOKUP(C1536,Customers!$A:$F,3,FALSE)</f>
        <v>41</v>
      </c>
      <c r="Q1536" t="str">
        <f>VLOOKUP(E1536,Sales_Reps!$A:$E,3,FALSE)</f>
        <v>East</v>
      </c>
      <c r="R1536" t="str">
        <f>VLOOKUP(E1536,Sales_Reps!$A:$E,2,FALSE)</f>
        <v>Vinod Kumar</v>
      </c>
      <c r="S1536">
        <f t="shared" si="23"/>
        <v>0.37797356828193834</v>
      </c>
    </row>
    <row r="1537" spans="1:19" x14ac:dyDescent="0.3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  <c r="L1537" t="str">
        <f>VLOOKUP(D1537,Products!$A:$F,3,FALSE)</f>
        <v>Beauty</v>
      </c>
      <c r="M1537" t="b">
        <f>VLOOKUP(D1537,Products!$A:$F,6,FALSE)</f>
        <v>1</v>
      </c>
      <c r="N1537">
        <f>VLOOKUP(D1537,Products!$A:$F,4,FALSE)</f>
        <v>2420</v>
      </c>
      <c r="O1537" t="str">
        <f>VLOOKUP(C1537,Customers!$A:$F,5,FALSE)</f>
        <v>SMB</v>
      </c>
      <c r="P1537">
        <f>VLOOKUP(C1537,Customers!$A:$F,3,FALSE)</f>
        <v>46</v>
      </c>
      <c r="Q1537" t="str">
        <f>VLOOKUP(E1537,Sales_Reps!$A:$E,3,FALSE)</f>
        <v>West</v>
      </c>
      <c r="R1537" t="str">
        <f>VLOOKUP(E1537,Sales_Reps!$A:$E,2,FALSE)</f>
        <v>Sonia Malhotra</v>
      </c>
      <c r="S1537">
        <f t="shared" si="23"/>
        <v>0.29855072463768118</v>
      </c>
    </row>
    <row r="1538" spans="1:19" x14ac:dyDescent="0.3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  <c r="L1538" t="str">
        <f>VLOOKUP(D1538,Products!$A:$F,3,FALSE)</f>
        <v>Grocery</v>
      </c>
      <c r="M1538" t="b">
        <f>VLOOKUP(D1538,Products!$A:$F,6,FALSE)</f>
        <v>1</v>
      </c>
      <c r="N1538">
        <f>VLOOKUP(D1538,Products!$A:$F,4,FALSE)</f>
        <v>1412</v>
      </c>
      <c r="O1538" t="str">
        <f>VLOOKUP(C1538,Customers!$A:$F,5,FALSE)</f>
        <v>SMB</v>
      </c>
      <c r="P1538">
        <f>VLOOKUP(C1538,Customers!$A:$F,3,FALSE)</f>
        <v>43</v>
      </c>
      <c r="Q1538" t="str">
        <f>VLOOKUP(E1538,Sales_Reps!$A:$E,3,FALSE)</f>
        <v>South</v>
      </c>
      <c r="R1538" t="str">
        <f>VLOOKUP(E1538,Sales_Reps!$A:$E,2,FALSE)</f>
        <v>Anil Verma</v>
      </c>
      <c r="S1538">
        <f t="shared" si="23"/>
        <v>0.37797356828193834</v>
      </c>
    </row>
    <row r="1539" spans="1:19" x14ac:dyDescent="0.3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  <c r="L1539" t="str">
        <f>VLOOKUP(D1539,Products!$A:$F,3,FALSE)</f>
        <v>Grocery</v>
      </c>
      <c r="M1539" t="b">
        <f>VLOOKUP(D1539,Products!$A:$F,6,FALSE)</f>
        <v>1</v>
      </c>
      <c r="N1539">
        <f>VLOOKUP(D1539,Products!$A:$F,4,FALSE)</f>
        <v>1010</v>
      </c>
      <c r="O1539" t="str">
        <f>VLOOKUP(C1539,Customers!$A:$F,5,FALSE)</f>
        <v>Retail</v>
      </c>
      <c r="P1539">
        <f>VLOOKUP(C1539,Customers!$A:$F,3,FALSE)</f>
        <v>28</v>
      </c>
      <c r="Q1539" t="str">
        <f>VLOOKUP(E1539,Sales_Reps!$A:$E,3,FALSE)</f>
        <v>West</v>
      </c>
      <c r="R1539" t="str">
        <f>VLOOKUP(E1539,Sales_Reps!$A:$E,2,FALSE)</f>
        <v>Kiran Bhatt</v>
      </c>
      <c r="S1539">
        <f t="shared" ref="S1539:S1602" si="24">IFERROR((G1539-N1539)/G1539,"")</f>
        <v>0.54298642533936647</v>
      </c>
    </row>
    <row r="1540" spans="1:19" x14ac:dyDescent="0.3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  <c r="L1540" t="str">
        <f>VLOOKUP(D1540,Products!$A:$F,3,FALSE)</f>
        <v>Home</v>
      </c>
      <c r="M1540" t="b">
        <f>VLOOKUP(D1540,Products!$A:$F,6,FALSE)</f>
        <v>1</v>
      </c>
      <c r="N1540">
        <f>VLOOKUP(D1540,Products!$A:$F,4,FALSE)</f>
        <v>1143</v>
      </c>
      <c r="O1540" t="str">
        <f>VLOOKUP(C1540,Customers!$A:$F,5,FALSE)</f>
        <v>SMB</v>
      </c>
      <c r="P1540">
        <f>VLOOKUP(C1540,Customers!$A:$F,3,FALSE)</f>
        <v>59</v>
      </c>
      <c r="Q1540" t="str">
        <f>VLOOKUP(E1540,Sales_Reps!$A:$E,3,FALSE)</f>
        <v>South</v>
      </c>
      <c r="R1540" t="str">
        <f>VLOOKUP(E1540,Sales_Reps!$A:$E,2,FALSE)</f>
        <v>Anil Verma</v>
      </c>
      <c r="S1540">
        <f t="shared" si="24"/>
        <v>0.43694581280788175</v>
      </c>
    </row>
    <row r="1541" spans="1:19" x14ac:dyDescent="0.3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  <c r="L1541" t="str">
        <f>VLOOKUP(D1541,Products!$A:$F,3,FALSE)</f>
        <v>Beauty</v>
      </c>
      <c r="M1541" t="b">
        <f>VLOOKUP(D1541,Products!$A:$F,6,FALSE)</f>
        <v>1</v>
      </c>
      <c r="N1541">
        <f>VLOOKUP(D1541,Products!$A:$F,4,FALSE)</f>
        <v>1728</v>
      </c>
      <c r="O1541" t="str">
        <f>VLOOKUP(C1541,Customers!$A:$F,5,FALSE)</f>
        <v>Retail</v>
      </c>
      <c r="P1541">
        <f>VLOOKUP(C1541,Customers!$A:$F,3,FALSE)</f>
        <v>44</v>
      </c>
      <c r="Q1541" t="str">
        <f>VLOOKUP(E1541,Sales_Reps!$A:$E,3,FALSE)</f>
        <v>East</v>
      </c>
      <c r="R1541" t="str">
        <f>VLOOKUP(E1541,Sales_Reps!$A:$E,2,FALSE)</f>
        <v>Vinod Kumar</v>
      </c>
      <c r="S1541">
        <f t="shared" si="24"/>
        <v>0.48417910447761192</v>
      </c>
    </row>
    <row r="1542" spans="1:19" x14ac:dyDescent="0.3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  <c r="L1542" t="str">
        <f>VLOOKUP(D1542,Products!$A:$F,3,FALSE)</f>
        <v>Apparel</v>
      </c>
      <c r="M1542" t="b">
        <f>VLOOKUP(D1542,Products!$A:$F,6,FALSE)</f>
        <v>1</v>
      </c>
      <c r="N1542">
        <f>VLOOKUP(D1542,Products!$A:$F,4,FALSE)</f>
        <v>2611</v>
      </c>
      <c r="O1542" t="str">
        <f>VLOOKUP(C1542,Customers!$A:$F,5,FALSE)</f>
        <v>Retail</v>
      </c>
      <c r="P1542">
        <f>VLOOKUP(C1542,Customers!$A:$F,3,FALSE)</f>
        <v>35</v>
      </c>
      <c r="Q1542" t="str">
        <f>VLOOKUP(E1542,Sales_Reps!$A:$E,3,FALSE)</f>
        <v>North</v>
      </c>
      <c r="R1542" t="str">
        <f>VLOOKUP(E1542,Sales_Reps!$A:$E,2,FALSE)</f>
        <v>Kavita Patel</v>
      </c>
      <c r="S1542">
        <f t="shared" si="24"/>
        <v>0.28269230769230769</v>
      </c>
    </row>
    <row r="1543" spans="1:19" x14ac:dyDescent="0.3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  <c r="L1543" t="str">
        <f>VLOOKUP(D1543,Products!$A:$F,3,FALSE)</f>
        <v>Sports</v>
      </c>
      <c r="M1543" t="b">
        <f>VLOOKUP(D1543,Products!$A:$F,6,FALSE)</f>
        <v>1</v>
      </c>
      <c r="N1543">
        <f>VLOOKUP(D1543,Products!$A:$F,4,FALSE)</f>
        <v>2467</v>
      </c>
      <c r="O1543" t="str">
        <f>VLOOKUP(C1543,Customers!$A:$F,5,FALSE)</f>
        <v>Retail</v>
      </c>
      <c r="P1543">
        <f>VLOOKUP(C1543,Customers!$A:$F,3,FALSE)</f>
        <v>37</v>
      </c>
      <c r="Q1543" t="str">
        <f>VLOOKUP(E1543,Sales_Reps!$A:$E,3,FALSE)</f>
        <v>East</v>
      </c>
      <c r="R1543" t="str">
        <f>VLOOKUP(E1543,Sales_Reps!$A:$E,2,FALSE)</f>
        <v>Shalini Patel</v>
      </c>
      <c r="S1543">
        <f t="shared" si="24"/>
        <v>0.28492753623188405</v>
      </c>
    </row>
    <row r="1544" spans="1:19" x14ac:dyDescent="0.3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  <c r="L1544" t="str">
        <f>VLOOKUP(D1544,Products!$A:$F,3,FALSE)</f>
        <v>Beauty</v>
      </c>
      <c r="M1544" t="b">
        <f>VLOOKUP(D1544,Products!$A:$F,6,FALSE)</f>
        <v>1</v>
      </c>
      <c r="N1544">
        <f>VLOOKUP(D1544,Products!$A:$F,4,FALSE)</f>
        <v>2420</v>
      </c>
      <c r="O1544" t="str">
        <f>VLOOKUP(C1544,Customers!$A:$F,5,FALSE)</f>
        <v>SMB</v>
      </c>
      <c r="P1544">
        <f>VLOOKUP(C1544,Customers!$A:$F,3,FALSE)</f>
        <v>38</v>
      </c>
      <c r="Q1544" t="str">
        <f>VLOOKUP(E1544,Sales_Reps!$A:$E,3,FALSE)</f>
        <v>North</v>
      </c>
      <c r="R1544" t="str">
        <f>VLOOKUP(E1544,Sales_Reps!$A:$E,2,FALSE)</f>
        <v>Amit Singh</v>
      </c>
      <c r="S1544">
        <f t="shared" si="24"/>
        <v>0.29855072463768118</v>
      </c>
    </row>
    <row r="1545" spans="1:19" x14ac:dyDescent="0.3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  <c r="L1545" t="str">
        <f>VLOOKUP(D1545,Products!$A:$F,3,FALSE)</f>
        <v>Beauty</v>
      </c>
      <c r="M1545" t="b">
        <f>VLOOKUP(D1545,Products!$A:$F,6,FALSE)</f>
        <v>1</v>
      </c>
      <c r="N1545">
        <f>VLOOKUP(D1545,Products!$A:$F,4,FALSE)</f>
        <v>1219</v>
      </c>
      <c r="O1545" t="str">
        <f>VLOOKUP(C1545,Customers!$A:$F,5,FALSE)</f>
        <v>Retail</v>
      </c>
      <c r="P1545">
        <f>VLOOKUP(C1545,Customers!$A:$F,3,FALSE)</f>
        <v>31</v>
      </c>
      <c r="Q1545" t="str">
        <f>VLOOKUP(E1545,Sales_Reps!$A:$E,3,FALSE)</f>
        <v>East</v>
      </c>
      <c r="R1545" t="str">
        <f>VLOOKUP(E1545,Sales_Reps!$A:$E,2,FALSE)</f>
        <v>Nisha Menon</v>
      </c>
      <c r="S1545">
        <f t="shared" si="24"/>
        <v>0.46768558951965067</v>
      </c>
    </row>
    <row r="1546" spans="1:19" x14ac:dyDescent="0.3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  <c r="L1546" t="str">
        <f>VLOOKUP(D1546,Products!$A:$F,3,FALSE)</f>
        <v>Sports</v>
      </c>
      <c r="M1546" t="b">
        <f>VLOOKUP(D1546,Products!$A:$F,6,FALSE)</f>
        <v>1</v>
      </c>
      <c r="N1546">
        <f>VLOOKUP(D1546,Products!$A:$F,4,FALSE)</f>
        <v>705</v>
      </c>
      <c r="O1546" t="str">
        <f>VLOOKUP(C1546,Customers!$A:$F,5,FALSE)</f>
        <v>Retail</v>
      </c>
      <c r="P1546">
        <f>VLOOKUP(C1546,Customers!$A:$F,3,FALSE)</f>
        <v>65</v>
      </c>
      <c r="Q1546" t="str">
        <f>VLOOKUP(E1546,Sales_Reps!$A:$E,3,FALSE)</f>
        <v>South</v>
      </c>
      <c r="R1546" t="str">
        <f>VLOOKUP(E1546,Sales_Reps!$A:$E,2,FALSE)</f>
        <v>Divya Rao</v>
      </c>
      <c r="S1546">
        <f t="shared" si="24"/>
        <v>0.265625</v>
      </c>
    </row>
    <row r="1547" spans="1:19" x14ac:dyDescent="0.3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  <c r="L1547" t="str">
        <f>VLOOKUP(D1547,Products!$A:$F,3,FALSE)</f>
        <v>Home</v>
      </c>
      <c r="M1547" t="b">
        <f>VLOOKUP(D1547,Products!$A:$F,6,FALSE)</f>
        <v>1</v>
      </c>
      <c r="N1547">
        <f>VLOOKUP(D1547,Products!$A:$F,4,FALSE)</f>
        <v>1850</v>
      </c>
      <c r="O1547" t="str">
        <f>VLOOKUP(C1547,Customers!$A:$F,5,FALSE)</f>
        <v>SMB</v>
      </c>
      <c r="P1547">
        <f>VLOOKUP(C1547,Customers!$A:$F,3,FALSE)</f>
        <v>26</v>
      </c>
      <c r="Q1547" t="str">
        <f>VLOOKUP(E1547,Sales_Reps!$A:$E,3,FALSE)</f>
        <v>West</v>
      </c>
      <c r="R1547" t="str">
        <f>VLOOKUP(E1547,Sales_Reps!$A:$E,2,FALSE)</f>
        <v>Ashok Reddy</v>
      </c>
      <c r="S1547">
        <f t="shared" si="24"/>
        <v>0.59869848156182215</v>
      </c>
    </row>
    <row r="1548" spans="1:19" x14ac:dyDescent="0.3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  <c r="L1548" t="str">
        <f>VLOOKUP(D1548,Products!$A:$F,3,FALSE)</f>
        <v>Grocery</v>
      </c>
      <c r="M1548" t="b">
        <f>VLOOKUP(D1548,Products!$A:$F,6,FALSE)</f>
        <v>0</v>
      </c>
      <c r="N1548">
        <f>VLOOKUP(D1548,Products!$A:$F,4,FALSE)</f>
        <v>2214</v>
      </c>
      <c r="O1548" t="str">
        <f>VLOOKUP(C1548,Customers!$A:$F,5,FALSE)</f>
        <v>SMB</v>
      </c>
      <c r="P1548">
        <f>VLOOKUP(C1548,Customers!$A:$F,3,FALSE)</f>
        <v>53</v>
      </c>
      <c r="Q1548" t="str">
        <f>VLOOKUP(E1548,Sales_Reps!$A:$E,3,FALSE)</f>
        <v>North</v>
      </c>
      <c r="R1548" t="str">
        <f>VLOOKUP(E1548,Sales_Reps!$A:$E,2,FALSE)</f>
        <v>Amit Singh</v>
      </c>
      <c r="S1548">
        <f t="shared" si="24"/>
        <v>0.39508196721311473</v>
      </c>
    </row>
    <row r="1549" spans="1:19" x14ac:dyDescent="0.3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  <c r="L1549" t="str">
        <f>VLOOKUP(D1549,Products!$A:$F,3,FALSE)</f>
        <v>Electronics</v>
      </c>
      <c r="M1549" t="b">
        <f>VLOOKUP(D1549,Products!$A:$F,6,FALSE)</f>
        <v>0</v>
      </c>
      <c r="N1549">
        <f>VLOOKUP(D1549,Products!$A:$F,4,FALSE)</f>
        <v>1259</v>
      </c>
      <c r="O1549" t="str">
        <f>VLOOKUP(C1549,Customers!$A:$F,5,FALSE)</f>
        <v>Corporate</v>
      </c>
      <c r="P1549">
        <f>VLOOKUP(C1549,Customers!$A:$F,3,FALSE)</f>
        <v>46</v>
      </c>
      <c r="Q1549" t="str">
        <f>VLOOKUP(E1549,Sales_Reps!$A:$E,3,FALSE)</f>
        <v>South</v>
      </c>
      <c r="R1549" t="str">
        <f>VLOOKUP(E1549,Sales_Reps!$A:$E,2,FALSE)</f>
        <v>Pooja Nair</v>
      </c>
      <c r="S1549">
        <f t="shared" si="24"/>
        <v>0.52669172932330832</v>
      </c>
    </row>
    <row r="1550" spans="1:19" x14ac:dyDescent="0.3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  <c r="L1550" t="str">
        <f>VLOOKUP(D1550,Products!$A:$F,3,FALSE)</f>
        <v>Beauty</v>
      </c>
      <c r="M1550" t="b">
        <f>VLOOKUP(D1550,Products!$A:$F,6,FALSE)</f>
        <v>0</v>
      </c>
      <c r="N1550">
        <f>VLOOKUP(D1550,Products!$A:$F,4,FALSE)</f>
        <v>647</v>
      </c>
      <c r="O1550" t="str">
        <f>VLOOKUP(C1550,Customers!$A:$F,5,FALSE)</f>
        <v>SMB</v>
      </c>
      <c r="P1550">
        <f>VLOOKUP(C1550,Customers!$A:$F,3,FALSE)</f>
        <v>38</v>
      </c>
      <c r="Q1550" t="str">
        <f>VLOOKUP(E1550,Sales_Reps!$A:$E,3,FALSE)</f>
        <v>West</v>
      </c>
      <c r="R1550" t="str">
        <f>VLOOKUP(E1550,Sales_Reps!$A:$E,2,FALSE)</f>
        <v>Sonia Malhotra</v>
      </c>
      <c r="S1550">
        <f t="shared" si="24"/>
        <v>0.57987012987012987</v>
      </c>
    </row>
    <row r="1551" spans="1:19" x14ac:dyDescent="0.3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  <c r="L1551" t="str">
        <f>VLOOKUP(D1551,Products!$A:$F,3,FALSE)</f>
        <v>Electronics</v>
      </c>
      <c r="M1551" t="b">
        <f>VLOOKUP(D1551,Products!$A:$F,6,FALSE)</f>
        <v>1</v>
      </c>
      <c r="N1551">
        <f>VLOOKUP(D1551,Products!$A:$F,4,FALSE)</f>
        <v>2865</v>
      </c>
      <c r="O1551" t="str">
        <f>VLOOKUP(C1551,Customers!$A:$F,5,FALSE)</f>
        <v>Retail</v>
      </c>
      <c r="P1551">
        <f>VLOOKUP(C1551,Customers!$A:$F,3,FALSE)</f>
        <v>59</v>
      </c>
      <c r="Q1551" t="str">
        <f>VLOOKUP(E1551,Sales_Reps!$A:$E,3,FALSE)</f>
        <v>North</v>
      </c>
      <c r="R1551" t="str">
        <f>VLOOKUP(E1551,Sales_Reps!$A:$E,2,FALSE)</f>
        <v>Priya Singh</v>
      </c>
      <c r="S1551">
        <f t="shared" si="24"/>
        <v>0.27833753148614609</v>
      </c>
    </row>
    <row r="1552" spans="1:19" x14ac:dyDescent="0.3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  <c r="L1552" t="str">
        <f>VLOOKUP(D1552,Products!$A:$F,3,FALSE)</f>
        <v>Sports</v>
      </c>
      <c r="M1552" t="b">
        <f>VLOOKUP(D1552,Products!$A:$F,6,FALSE)</f>
        <v>1</v>
      </c>
      <c r="N1552">
        <f>VLOOKUP(D1552,Products!$A:$F,4,FALSE)</f>
        <v>1860</v>
      </c>
      <c r="O1552" t="str">
        <f>VLOOKUP(C1552,Customers!$A:$F,5,FALSE)</f>
        <v>SMB</v>
      </c>
      <c r="P1552">
        <f>VLOOKUP(C1552,Customers!$A:$F,3,FALSE)</f>
        <v>62</v>
      </c>
      <c r="Q1552" t="str">
        <f>VLOOKUP(E1552,Sales_Reps!$A:$E,3,FALSE)</f>
        <v>North</v>
      </c>
      <c r="R1552" t="str">
        <f>VLOOKUP(E1552,Sales_Reps!$A:$E,2,FALSE)</f>
        <v>Suresh Menon</v>
      </c>
      <c r="S1552">
        <f t="shared" si="24"/>
        <v>0.50793650793650791</v>
      </c>
    </row>
    <row r="1553" spans="1:19" x14ac:dyDescent="0.3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  <c r="L1553" t="str">
        <f>VLOOKUP(D1553,Products!$A:$F,3,FALSE)</f>
        <v>Grocery</v>
      </c>
      <c r="M1553" t="b">
        <f>VLOOKUP(D1553,Products!$A:$F,6,FALSE)</f>
        <v>1</v>
      </c>
      <c r="N1553">
        <f>VLOOKUP(D1553,Products!$A:$F,4,FALSE)</f>
        <v>1412</v>
      </c>
      <c r="O1553" t="str">
        <f>VLOOKUP(C1553,Customers!$A:$F,5,FALSE)</f>
        <v>SMB</v>
      </c>
      <c r="P1553">
        <f>VLOOKUP(C1553,Customers!$A:$F,3,FALSE)</f>
        <v>28</v>
      </c>
      <c r="Q1553" t="str">
        <f>VLOOKUP(E1553,Sales_Reps!$A:$E,3,FALSE)</f>
        <v>North</v>
      </c>
      <c r="R1553" t="str">
        <f>VLOOKUP(E1553,Sales_Reps!$A:$E,2,FALSE)</f>
        <v>Priya Singh</v>
      </c>
      <c r="S1553">
        <f t="shared" si="24"/>
        <v>0.37797356828193834</v>
      </c>
    </row>
    <row r="1554" spans="1:19" x14ac:dyDescent="0.3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  <c r="L1554" t="str">
        <f>VLOOKUP(D1554,Products!$A:$F,3,FALSE)</f>
        <v>Electronics</v>
      </c>
      <c r="M1554" t="b">
        <f>VLOOKUP(D1554,Products!$A:$F,6,FALSE)</f>
        <v>1</v>
      </c>
      <c r="N1554">
        <f>VLOOKUP(D1554,Products!$A:$F,4,FALSE)</f>
        <v>517</v>
      </c>
      <c r="O1554" t="str">
        <f>VLOOKUP(C1554,Customers!$A:$F,5,FALSE)</f>
        <v>SMB</v>
      </c>
      <c r="P1554">
        <f>VLOOKUP(C1554,Customers!$A:$F,3,FALSE)</f>
        <v>65</v>
      </c>
      <c r="Q1554" t="str">
        <f>VLOOKUP(E1554,Sales_Reps!$A:$E,3,FALSE)</f>
        <v>South</v>
      </c>
      <c r="R1554" t="str">
        <f>VLOOKUP(E1554,Sales_Reps!$A:$E,2,FALSE)</f>
        <v>Manoj Patel</v>
      </c>
      <c r="S1554">
        <f t="shared" si="24"/>
        <v>0.57622950819672136</v>
      </c>
    </row>
    <row r="1555" spans="1:19" x14ac:dyDescent="0.3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  <c r="L1555" t="str">
        <f>VLOOKUP(D1555,Products!$A:$F,3,FALSE)</f>
        <v>Beauty</v>
      </c>
      <c r="M1555" t="b">
        <f>VLOOKUP(D1555,Products!$A:$F,6,FALSE)</f>
        <v>1</v>
      </c>
      <c r="N1555">
        <f>VLOOKUP(D1555,Products!$A:$F,4,FALSE)</f>
        <v>1728</v>
      </c>
      <c r="O1555" t="str">
        <f>VLOOKUP(C1555,Customers!$A:$F,5,FALSE)</f>
        <v>Retail</v>
      </c>
      <c r="P1555">
        <f>VLOOKUP(C1555,Customers!$A:$F,3,FALSE)</f>
        <v>29</v>
      </c>
      <c r="Q1555" t="str">
        <f>VLOOKUP(E1555,Sales_Reps!$A:$E,3,FALSE)</f>
        <v>South</v>
      </c>
      <c r="R1555" t="str">
        <f>VLOOKUP(E1555,Sales_Reps!$A:$E,2,FALSE)</f>
        <v>Deepak Shah</v>
      </c>
      <c r="S1555">
        <f t="shared" si="24"/>
        <v>0.48417910447761192</v>
      </c>
    </row>
    <row r="1556" spans="1:19" x14ac:dyDescent="0.3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  <c r="L1556" t="str">
        <f>VLOOKUP(D1556,Products!$A:$F,3,FALSE)</f>
        <v>Beauty</v>
      </c>
      <c r="M1556" t="b">
        <f>VLOOKUP(D1556,Products!$A:$F,6,FALSE)</f>
        <v>1</v>
      </c>
      <c r="N1556">
        <f>VLOOKUP(D1556,Products!$A:$F,4,FALSE)</f>
        <v>1728</v>
      </c>
      <c r="O1556" t="e">
        <f>VLOOKUP(C1556,Customers!$A:$F,5,FALSE)</f>
        <v>#N/A</v>
      </c>
      <c r="P1556" t="e">
        <f>VLOOKUP(C1556,Customers!$A:$F,3,FALSE)</f>
        <v>#N/A</v>
      </c>
      <c r="Q1556" t="str">
        <f>VLOOKUP(E1556,Sales_Reps!$A:$E,3,FALSE)</f>
        <v>West</v>
      </c>
      <c r="R1556" t="str">
        <f>VLOOKUP(E1556,Sales_Reps!$A:$E,2,FALSE)</f>
        <v>Kiran Bhatt</v>
      </c>
      <c r="S1556">
        <f t="shared" si="24"/>
        <v>0.48417910447761192</v>
      </c>
    </row>
    <row r="1557" spans="1:19" x14ac:dyDescent="0.3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  <c r="L1557" t="str">
        <f>VLOOKUP(D1557,Products!$A:$F,3,FALSE)</f>
        <v>Home</v>
      </c>
      <c r="M1557" t="b">
        <f>VLOOKUP(D1557,Products!$A:$F,6,FALSE)</f>
        <v>1</v>
      </c>
      <c r="N1557">
        <f>VLOOKUP(D1557,Products!$A:$F,4,FALSE)</f>
        <v>2549</v>
      </c>
      <c r="O1557" t="str">
        <f>VLOOKUP(C1557,Customers!$A:$F,5,FALSE)</f>
        <v>Retail</v>
      </c>
      <c r="P1557">
        <f>VLOOKUP(C1557,Customers!$A:$F,3,FALSE)</f>
        <v>51</v>
      </c>
      <c r="Q1557" t="str">
        <f>VLOOKUP(E1557,Sales_Reps!$A:$E,3,FALSE)</f>
        <v>South</v>
      </c>
      <c r="R1557" t="str">
        <f>VLOOKUP(E1557,Sales_Reps!$A:$E,2,FALSE)</f>
        <v>Ritu Menon</v>
      </c>
      <c r="S1557">
        <f t="shared" si="24"/>
        <v>0.53570127504553733</v>
      </c>
    </row>
    <row r="1558" spans="1:19" x14ac:dyDescent="0.3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  <c r="L1558" t="str">
        <f>VLOOKUP(D1558,Products!$A:$F,3,FALSE)</f>
        <v>Sports</v>
      </c>
      <c r="M1558" t="b">
        <f>VLOOKUP(D1558,Products!$A:$F,6,FALSE)</f>
        <v>1</v>
      </c>
      <c r="N1558">
        <f>VLOOKUP(D1558,Products!$A:$F,4,FALSE)</f>
        <v>2028</v>
      </c>
      <c r="O1558" t="str">
        <f>VLOOKUP(C1558,Customers!$A:$F,5,FALSE)</f>
        <v>SMB</v>
      </c>
      <c r="P1558">
        <f>VLOOKUP(C1558,Customers!$A:$F,3,FALSE)</f>
        <v>39</v>
      </c>
      <c r="Q1558" t="str">
        <f>VLOOKUP(E1558,Sales_Reps!$A:$E,3,FALSE)</f>
        <v>East</v>
      </c>
      <c r="R1558" t="str">
        <f>VLOOKUP(E1558,Sales_Reps!$A:$E,2,FALSE)</f>
        <v>Shalini Patel</v>
      </c>
      <c r="S1558">
        <f t="shared" si="24"/>
        <v>0.29090909090909089</v>
      </c>
    </row>
    <row r="1559" spans="1:19" x14ac:dyDescent="0.3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  <c r="L1559" t="str">
        <f>VLOOKUP(D1559,Products!$A:$F,3,FALSE)</f>
        <v>Electronics</v>
      </c>
      <c r="M1559" t="b">
        <f>VLOOKUP(D1559,Products!$A:$F,6,FALSE)</f>
        <v>1</v>
      </c>
      <c r="N1559">
        <f>VLOOKUP(D1559,Products!$A:$F,4,FALSE)</f>
        <v>1149</v>
      </c>
      <c r="O1559" t="str">
        <f>VLOOKUP(C1559,Customers!$A:$F,5,FALSE)</f>
        <v>Retail</v>
      </c>
      <c r="P1559">
        <f>VLOOKUP(C1559,Customers!$A:$F,3,FALSE)</f>
        <v>24</v>
      </c>
      <c r="Q1559" t="str">
        <f>VLOOKUP(E1559,Sales_Reps!$A:$E,3,FALSE)</f>
        <v>West</v>
      </c>
      <c r="R1559" t="str">
        <f>VLOOKUP(E1559,Sales_Reps!$A:$E,2,FALSE)</f>
        <v>Rekha Chopra</v>
      </c>
      <c r="S1559">
        <f t="shared" si="24"/>
        <v>0.56477272727272732</v>
      </c>
    </row>
    <row r="1560" spans="1:19" x14ac:dyDescent="0.3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  <c r="L1560" t="str">
        <f>VLOOKUP(D1560,Products!$A:$F,3,FALSE)</f>
        <v>Apparel</v>
      </c>
      <c r="M1560" t="b">
        <f>VLOOKUP(D1560,Products!$A:$F,6,FALSE)</f>
        <v>1</v>
      </c>
      <c r="N1560">
        <f>VLOOKUP(D1560,Products!$A:$F,4,FALSE)</f>
        <v>1748</v>
      </c>
      <c r="O1560" t="str">
        <f>VLOOKUP(C1560,Customers!$A:$F,5,FALSE)</f>
        <v>Corporate</v>
      </c>
      <c r="P1560">
        <f>VLOOKUP(C1560,Customers!$A:$F,3,FALSE)</f>
        <v>34</v>
      </c>
      <c r="Q1560" t="str">
        <f>VLOOKUP(E1560,Sales_Reps!$A:$E,3,FALSE)</f>
        <v>West</v>
      </c>
      <c r="R1560" t="str">
        <f>VLOOKUP(E1560,Sales_Reps!$A:$E,2,FALSE)</f>
        <v>Arun Iyer</v>
      </c>
      <c r="S1560">
        <f t="shared" si="24"/>
        <v>0.49333333333333335</v>
      </c>
    </row>
    <row r="1561" spans="1:19" x14ac:dyDescent="0.3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  <c r="L1561" t="str">
        <f>VLOOKUP(D1561,Products!$A:$F,3,FALSE)</f>
        <v>Home</v>
      </c>
      <c r="M1561" t="b">
        <f>VLOOKUP(D1561,Products!$A:$F,6,FALSE)</f>
        <v>1</v>
      </c>
      <c r="N1561">
        <f>VLOOKUP(D1561,Products!$A:$F,4,FALSE)</f>
        <v>288</v>
      </c>
      <c r="O1561" t="str">
        <f>VLOOKUP(C1561,Customers!$A:$F,5,FALSE)</f>
        <v>SMB</v>
      </c>
      <c r="P1561">
        <f>VLOOKUP(C1561,Customers!$A:$F,3,FALSE)</f>
        <v>38</v>
      </c>
      <c r="Q1561" t="str">
        <f>VLOOKUP(E1561,Sales_Reps!$A:$E,3,FALSE)</f>
        <v>West</v>
      </c>
      <c r="R1561" t="str">
        <f>VLOOKUP(E1561,Sales_Reps!$A:$E,2,FALSE)</f>
        <v>Ashok Reddy</v>
      </c>
      <c r="S1561">
        <f t="shared" si="24"/>
        <v>0.22162162162162163</v>
      </c>
    </row>
    <row r="1562" spans="1:19" x14ac:dyDescent="0.3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  <c r="L1562" t="str">
        <f>VLOOKUP(D1562,Products!$A:$F,3,FALSE)</f>
        <v>Grocery</v>
      </c>
      <c r="M1562" t="b">
        <f>VLOOKUP(D1562,Products!$A:$F,6,FALSE)</f>
        <v>1</v>
      </c>
      <c r="N1562">
        <f>VLOOKUP(D1562,Products!$A:$F,4,FALSE)</f>
        <v>2911</v>
      </c>
      <c r="O1562" t="str">
        <f>VLOOKUP(C1562,Customers!$A:$F,5,FALSE)</f>
        <v>SMB</v>
      </c>
      <c r="P1562">
        <f>VLOOKUP(C1562,Customers!$A:$F,3,FALSE)</f>
        <v>22</v>
      </c>
      <c r="Q1562" t="str">
        <f>VLOOKUP(E1562,Sales_Reps!$A:$E,3,FALSE)</f>
        <v>West</v>
      </c>
      <c r="R1562" t="str">
        <f>VLOOKUP(E1562,Sales_Reps!$A:$E,2,FALSE)</f>
        <v>Arun Iyer</v>
      </c>
      <c r="S1562">
        <f t="shared" si="24"/>
        <v>0.28300492610837441</v>
      </c>
    </row>
    <row r="1563" spans="1:19" x14ac:dyDescent="0.3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  <c r="L1563" t="str">
        <f>VLOOKUP(D1563,Products!$A:$F,3,FALSE)</f>
        <v>Electronics</v>
      </c>
      <c r="M1563" t="b">
        <f>VLOOKUP(D1563,Products!$A:$F,6,FALSE)</f>
        <v>1</v>
      </c>
      <c r="N1563">
        <f>VLOOKUP(D1563,Products!$A:$F,4,FALSE)</f>
        <v>1559</v>
      </c>
      <c r="O1563" t="str">
        <f>VLOOKUP(C1563,Customers!$A:$F,5,FALSE)</f>
        <v>Corporate</v>
      </c>
      <c r="P1563">
        <f>VLOOKUP(C1563,Customers!$A:$F,3,FALSE)</f>
        <v>55</v>
      </c>
      <c r="Q1563" t="str">
        <f>VLOOKUP(E1563,Sales_Reps!$A:$E,3,FALSE)</f>
        <v>West</v>
      </c>
      <c r="R1563" t="str">
        <f>VLOOKUP(E1563,Sales_Reps!$A:$E,2,FALSE)</f>
        <v>Rekha Chopra</v>
      </c>
      <c r="S1563">
        <f t="shared" si="24"/>
        <v>0.59715762273901807</v>
      </c>
    </row>
    <row r="1564" spans="1:19" x14ac:dyDescent="0.3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  <c r="L1564" t="str">
        <f>VLOOKUP(D1564,Products!$A:$F,3,FALSE)</f>
        <v>Electronics</v>
      </c>
      <c r="M1564" t="b">
        <f>VLOOKUP(D1564,Products!$A:$F,6,FALSE)</f>
        <v>1</v>
      </c>
      <c r="N1564">
        <f>VLOOKUP(D1564,Products!$A:$F,4,FALSE)</f>
        <v>2405</v>
      </c>
      <c r="O1564" t="str">
        <f>VLOOKUP(C1564,Customers!$A:$F,5,FALSE)</f>
        <v>Corporate</v>
      </c>
      <c r="P1564">
        <f>VLOOKUP(C1564,Customers!$A:$F,3,FALSE)</f>
        <v>42</v>
      </c>
      <c r="Q1564" t="str">
        <f>VLOOKUP(E1564,Sales_Reps!$A:$E,3,FALSE)</f>
        <v>North</v>
      </c>
      <c r="R1564" t="str">
        <f>VLOOKUP(E1564,Sales_Reps!$A:$E,2,FALSE)</f>
        <v>Neha Desai</v>
      </c>
      <c r="S1564">
        <f t="shared" si="24"/>
        <v>0.54878048780487809</v>
      </c>
    </row>
    <row r="1565" spans="1:19" x14ac:dyDescent="0.3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  <c r="L1565" t="str">
        <f>VLOOKUP(D1565,Products!$A:$F,3,FALSE)</f>
        <v>Home</v>
      </c>
      <c r="M1565" t="b">
        <f>VLOOKUP(D1565,Products!$A:$F,6,FALSE)</f>
        <v>1</v>
      </c>
      <c r="N1565">
        <f>VLOOKUP(D1565,Products!$A:$F,4,FALSE)</f>
        <v>288</v>
      </c>
      <c r="O1565" t="str">
        <f>VLOOKUP(C1565,Customers!$A:$F,5,FALSE)</f>
        <v>Retail</v>
      </c>
      <c r="P1565">
        <f>VLOOKUP(C1565,Customers!$A:$F,3,FALSE)</f>
        <v>27</v>
      </c>
      <c r="Q1565" t="str">
        <f>VLOOKUP(E1565,Sales_Reps!$A:$E,3,FALSE)</f>
        <v>East</v>
      </c>
      <c r="R1565" t="str">
        <f>VLOOKUP(E1565,Sales_Reps!$A:$E,2,FALSE)</f>
        <v>Meera Iyer</v>
      </c>
      <c r="S1565">
        <f t="shared" si="24"/>
        <v>0.22162162162162163</v>
      </c>
    </row>
    <row r="1566" spans="1:19" x14ac:dyDescent="0.3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  <c r="L1566" t="str">
        <f>VLOOKUP(D1566,Products!$A:$F,3,FALSE)</f>
        <v>Electronics</v>
      </c>
      <c r="M1566" t="b">
        <f>VLOOKUP(D1566,Products!$A:$F,6,FALSE)</f>
        <v>1</v>
      </c>
      <c r="N1566">
        <f>VLOOKUP(D1566,Products!$A:$F,4,FALSE)</f>
        <v>128</v>
      </c>
      <c r="O1566" t="str">
        <f>VLOOKUP(C1566,Customers!$A:$F,5,FALSE)</f>
        <v>Retail</v>
      </c>
      <c r="P1566">
        <f>VLOOKUP(C1566,Customers!$A:$F,3,FALSE)</f>
        <v>61</v>
      </c>
      <c r="Q1566" t="str">
        <f>VLOOKUP(E1566,Sales_Reps!$A:$E,3,FALSE)</f>
        <v>East</v>
      </c>
      <c r="R1566" t="str">
        <f>VLOOKUP(E1566,Sales_Reps!$A:$E,2,FALSE)</f>
        <v>Meera Iyer</v>
      </c>
      <c r="S1566">
        <f t="shared" si="24"/>
        <v>0.57333333333333336</v>
      </c>
    </row>
    <row r="1567" spans="1:19" x14ac:dyDescent="0.3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  <c r="L1567" t="str">
        <f>VLOOKUP(D1567,Products!$A:$F,3,FALSE)</f>
        <v>Beauty</v>
      </c>
      <c r="M1567" t="b">
        <f>VLOOKUP(D1567,Products!$A:$F,6,FALSE)</f>
        <v>1</v>
      </c>
      <c r="N1567">
        <f>VLOOKUP(D1567,Products!$A:$F,4,FALSE)</f>
        <v>1728</v>
      </c>
      <c r="O1567" t="str">
        <f>VLOOKUP(C1567,Customers!$A:$F,5,FALSE)</f>
        <v>Retail</v>
      </c>
      <c r="P1567">
        <f>VLOOKUP(C1567,Customers!$A:$F,3,FALSE)</f>
        <v>53</v>
      </c>
      <c r="Q1567" t="str">
        <f>VLOOKUP(E1567,Sales_Reps!$A:$E,3,FALSE)</f>
        <v>South</v>
      </c>
      <c r="R1567" t="str">
        <f>VLOOKUP(E1567,Sales_Reps!$A:$E,2,FALSE)</f>
        <v>Pooja Nair</v>
      </c>
      <c r="S1567">
        <f t="shared" si="24"/>
        <v>0.48417910447761192</v>
      </c>
    </row>
    <row r="1568" spans="1:19" x14ac:dyDescent="0.3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  <c r="L1568" t="str">
        <f>VLOOKUP(D1568,Products!$A:$F,3,FALSE)</f>
        <v>Sports</v>
      </c>
      <c r="M1568" t="b">
        <f>VLOOKUP(D1568,Products!$A:$F,6,FALSE)</f>
        <v>1</v>
      </c>
      <c r="N1568">
        <f>VLOOKUP(D1568,Products!$A:$F,4,FALSE)</f>
        <v>2827</v>
      </c>
      <c r="O1568" t="str">
        <f>VLOOKUP(C1568,Customers!$A:$F,5,FALSE)</f>
        <v>SMB</v>
      </c>
      <c r="P1568">
        <f>VLOOKUP(C1568,Customers!$A:$F,3,FALSE)</f>
        <v>51</v>
      </c>
      <c r="Q1568" t="str">
        <f>VLOOKUP(E1568,Sales_Reps!$A:$E,3,FALSE)</f>
        <v>South</v>
      </c>
      <c r="R1568" t="str">
        <f>VLOOKUP(E1568,Sales_Reps!$A:$E,2,FALSE)</f>
        <v>Manoj Patel</v>
      </c>
      <c r="S1568">
        <f t="shared" si="24"/>
        <v>0.5926512968299712</v>
      </c>
    </row>
    <row r="1569" spans="1:19" x14ac:dyDescent="0.3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  <c r="L1569" t="str">
        <f>VLOOKUP(D1569,Products!$A:$F,3,FALSE)</f>
        <v>Beauty</v>
      </c>
      <c r="M1569" t="b">
        <f>VLOOKUP(D1569,Products!$A:$F,6,FALSE)</f>
        <v>1</v>
      </c>
      <c r="N1569">
        <f>VLOOKUP(D1569,Products!$A:$F,4,FALSE)</f>
        <v>675</v>
      </c>
      <c r="O1569" t="str">
        <f>VLOOKUP(C1569,Customers!$A:$F,5,FALSE)</f>
        <v>Retail</v>
      </c>
      <c r="P1569">
        <f>VLOOKUP(C1569,Customers!$A:$F,3,FALSE)</f>
        <v>32</v>
      </c>
      <c r="Q1569" t="str">
        <f>VLOOKUP(E1569,Sales_Reps!$A:$E,3,FALSE)</f>
        <v>North</v>
      </c>
      <c r="R1569" t="str">
        <f>VLOOKUP(E1569,Sales_Reps!$A:$E,2,FALSE)</f>
        <v>Kavita Patel</v>
      </c>
      <c r="S1569">
        <f t="shared" si="24"/>
        <v>0.296875</v>
      </c>
    </row>
    <row r="1570" spans="1:19" x14ac:dyDescent="0.3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  <c r="L1570" t="str">
        <f>VLOOKUP(D1570,Products!$A:$F,3,FALSE)</f>
        <v>Grocery</v>
      </c>
      <c r="M1570" t="b">
        <f>VLOOKUP(D1570,Products!$A:$F,6,FALSE)</f>
        <v>1</v>
      </c>
      <c r="N1570">
        <f>VLOOKUP(D1570,Products!$A:$F,4,FALSE)</f>
        <v>1435</v>
      </c>
      <c r="O1570" t="str">
        <f>VLOOKUP(C1570,Customers!$A:$F,5,FALSE)</f>
        <v>Retail</v>
      </c>
      <c r="P1570">
        <f>VLOOKUP(C1570,Customers!$A:$F,3,FALSE)</f>
        <v>38</v>
      </c>
      <c r="Q1570" t="str">
        <f>VLOOKUP(E1570,Sales_Reps!$A:$E,3,FALSE)</f>
        <v>East</v>
      </c>
      <c r="R1570" t="str">
        <f>VLOOKUP(E1570,Sales_Reps!$A:$E,2,FALSE)</f>
        <v>Gaurav Desai</v>
      </c>
      <c r="S1570">
        <f t="shared" si="24"/>
        <v>0.48007246376811596</v>
      </c>
    </row>
    <row r="1571" spans="1:19" x14ac:dyDescent="0.3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  <c r="L1571" t="str">
        <f>VLOOKUP(D1571,Products!$A:$F,3,FALSE)</f>
        <v>Grocery</v>
      </c>
      <c r="M1571" t="b">
        <f>VLOOKUP(D1571,Products!$A:$F,6,FALSE)</f>
        <v>1</v>
      </c>
      <c r="N1571">
        <f>VLOOKUP(D1571,Products!$A:$F,4,FALSE)</f>
        <v>1203</v>
      </c>
      <c r="O1571" t="str">
        <f>VLOOKUP(C1571,Customers!$A:$F,5,FALSE)</f>
        <v>SMB</v>
      </c>
      <c r="P1571">
        <f>VLOOKUP(C1571,Customers!$A:$F,3,FALSE)</f>
        <v>64</v>
      </c>
      <c r="Q1571" t="str">
        <f>VLOOKUP(E1571,Sales_Reps!$A:$E,3,FALSE)</f>
        <v>West</v>
      </c>
      <c r="R1571" t="str">
        <f>VLOOKUP(E1571,Sales_Reps!$A:$E,2,FALSE)</f>
        <v>Sonia Malhotra</v>
      </c>
      <c r="S1571">
        <f t="shared" si="24"/>
        <v>0.47004405286343615</v>
      </c>
    </row>
    <row r="1572" spans="1:19" x14ac:dyDescent="0.3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  <c r="L1572" t="str">
        <f>VLOOKUP(D1572,Products!$A:$F,3,FALSE)</f>
        <v>Electronics</v>
      </c>
      <c r="M1572" t="b">
        <f>VLOOKUP(D1572,Products!$A:$F,6,FALSE)</f>
        <v>1</v>
      </c>
      <c r="N1572">
        <f>VLOOKUP(D1572,Products!$A:$F,4,FALSE)</f>
        <v>1052</v>
      </c>
      <c r="O1572" t="str">
        <f>VLOOKUP(C1572,Customers!$A:$F,5,FALSE)</f>
        <v>Retail</v>
      </c>
      <c r="P1572">
        <f>VLOOKUP(C1572,Customers!$A:$F,3,FALSE)</f>
        <v>22</v>
      </c>
      <c r="Q1572" t="str">
        <f>VLOOKUP(E1572,Sales_Reps!$A:$E,3,FALSE)</f>
        <v>East</v>
      </c>
      <c r="R1572" t="str">
        <f>VLOOKUP(E1572,Sales_Reps!$A:$E,2,FALSE)</f>
        <v>Gaurav Desai</v>
      </c>
      <c r="S1572">
        <f t="shared" si="24"/>
        <v>0.5953846153846154</v>
      </c>
    </row>
    <row r="1573" spans="1:19" x14ac:dyDescent="0.3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  <c r="L1573" t="str">
        <f>VLOOKUP(D1573,Products!$A:$F,3,FALSE)</f>
        <v>Electronics</v>
      </c>
      <c r="M1573" t="b">
        <f>VLOOKUP(D1573,Products!$A:$F,6,FALSE)</f>
        <v>1</v>
      </c>
      <c r="N1573">
        <f>VLOOKUP(D1573,Products!$A:$F,4,FALSE)</f>
        <v>1665</v>
      </c>
      <c r="O1573" t="str">
        <f>VLOOKUP(C1573,Customers!$A:$F,5,FALSE)</f>
        <v>SMB</v>
      </c>
      <c r="P1573">
        <f>VLOOKUP(C1573,Customers!$A:$F,3,FALSE)</f>
        <v>36</v>
      </c>
      <c r="Q1573" t="str">
        <f>VLOOKUP(E1573,Sales_Reps!$A:$E,3,FALSE)</f>
        <v>West</v>
      </c>
      <c r="R1573" t="str">
        <f>VLOOKUP(E1573,Sales_Reps!$A:$E,2,FALSE)</f>
        <v>Rekha Chopra</v>
      </c>
      <c r="S1573">
        <f t="shared" si="24"/>
        <v>0.53361344537815125</v>
      </c>
    </row>
    <row r="1574" spans="1:19" x14ac:dyDescent="0.3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  <c r="L1574" t="str">
        <f>VLOOKUP(D1574,Products!$A:$F,3,FALSE)</f>
        <v>Home</v>
      </c>
      <c r="M1574" t="b">
        <f>VLOOKUP(D1574,Products!$A:$F,6,FALSE)</f>
        <v>1</v>
      </c>
      <c r="N1574">
        <f>VLOOKUP(D1574,Products!$A:$F,4,FALSE)</f>
        <v>2459</v>
      </c>
      <c r="O1574" t="str">
        <f>VLOOKUP(C1574,Customers!$A:$F,5,FALSE)</f>
        <v>Retail</v>
      </c>
      <c r="P1574">
        <f>VLOOKUP(C1574,Customers!$A:$F,3,FALSE)</f>
        <v>65</v>
      </c>
      <c r="Q1574" t="str">
        <f>VLOOKUP(E1574,Sales_Reps!$A:$E,3,FALSE)</f>
        <v>South</v>
      </c>
      <c r="R1574" t="str">
        <f>VLOOKUP(E1574,Sales_Reps!$A:$E,2,FALSE)</f>
        <v>Anjali Chopra</v>
      </c>
      <c r="S1574">
        <f t="shared" si="24"/>
        <v>0.51594488188976373</v>
      </c>
    </row>
    <row r="1575" spans="1:19" x14ac:dyDescent="0.3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  <c r="L1575" t="str">
        <f>VLOOKUP(D1575,Products!$A:$F,3,FALSE)</f>
        <v>Beauty</v>
      </c>
      <c r="M1575" t="b">
        <f>VLOOKUP(D1575,Products!$A:$F,6,FALSE)</f>
        <v>1</v>
      </c>
      <c r="N1575">
        <f>VLOOKUP(D1575,Products!$A:$F,4,FALSE)</f>
        <v>675</v>
      </c>
      <c r="O1575" t="str">
        <f>VLOOKUP(C1575,Customers!$A:$F,5,FALSE)</f>
        <v>Retail</v>
      </c>
      <c r="P1575">
        <f>VLOOKUP(C1575,Customers!$A:$F,3,FALSE)</f>
        <v>40</v>
      </c>
      <c r="Q1575" t="str">
        <f>VLOOKUP(E1575,Sales_Reps!$A:$E,3,FALSE)</f>
        <v>South</v>
      </c>
      <c r="R1575" t="str">
        <f>VLOOKUP(E1575,Sales_Reps!$A:$E,2,FALSE)</f>
        <v>Anjali Chopra</v>
      </c>
      <c r="S1575">
        <f t="shared" si="24"/>
        <v>0.296875</v>
      </c>
    </row>
    <row r="1576" spans="1:19" x14ac:dyDescent="0.3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  <c r="L1576" t="str">
        <f>VLOOKUP(D1576,Products!$A:$F,3,FALSE)</f>
        <v>Sports</v>
      </c>
      <c r="M1576" t="b">
        <f>VLOOKUP(D1576,Products!$A:$F,6,FALSE)</f>
        <v>0</v>
      </c>
      <c r="N1576">
        <f>VLOOKUP(D1576,Products!$A:$F,4,FALSE)</f>
        <v>302</v>
      </c>
      <c r="O1576" t="str">
        <f>VLOOKUP(C1576,Customers!$A:$F,5,FALSE)</f>
        <v>Corporate</v>
      </c>
      <c r="P1576">
        <f>VLOOKUP(C1576,Customers!$A:$F,3,FALSE)</f>
        <v>62</v>
      </c>
      <c r="Q1576" t="str">
        <f>VLOOKUP(E1576,Sales_Reps!$A:$E,3,FALSE)</f>
        <v>South</v>
      </c>
      <c r="R1576" t="str">
        <f>VLOOKUP(E1576,Sales_Reps!$A:$E,2,FALSE)</f>
        <v>Divya Rao</v>
      </c>
      <c r="S1576">
        <f t="shared" si="24"/>
        <v>0.35744680851063831</v>
      </c>
    </row>
    <row r="1577" spans="1:19" x14ac:dyDescent="0.3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  <c r="L1577" t="str">
        <f>VLOOKUP(D1577,Products!$A:$F,3,FALSE)</f>
        <v>Electronics</v>
      </c>
      <c r="M1577" t="b">
        <f>VLOOKUP(D1577,Products!$A:$F,6,FALSE)</f>
        <v>1</v>
      </c>
      <c r="N1577">
        <f>VLOOKUP(D1577,Products!$A:$F,4,FALSE)</f>
        <v>517</v>
      </c>
      <c r="O1577" t="str">
        <f>VLOOKUP(C1577,Customers!$A:$F,5,FALSE)</f>
        <v>Retail</v>
      </c>
      <c r="P1577">
        <f>VLOOKUP(C1577,Customers!$A:$F,3,FALSE)</f>
        <v>53</v>
      </c>
      <c r="Q1577" t="str">
        <f>VLOOKUP(E1577,Sales_Reps!$A:$E,3,FALSE)</f>
        <v>West</v>
      </c>
      <c r="R1577" t="str">
        <f>VLOOKUP(E1577,Sales_Reps!$A:$E,2,FALSE)</f>
        <v>Ramesh Bhatt</v>
      </c>
      <c r="S1577">
        <f t="shared" si="24"/>
        <v>0.57622950819672136</v>
      </c>
    </row>
    <row r="1578" spans="1:19" x14ac:dyDescent="0.3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  <c r="L1578" t="str">
        <f>VLOOKUP(D1578,Products!$A:$F,3,FALSE)</f>
        <v>Sports</v>
      </c>
      <c r="M1578" t="b">
        <f>VLOOKUP(D1578,Products!$A:$F,6,FALSE)</f>
        <v>1</v>
      </c>
      <c r="N1578">
        <f>VLOOKUP(D1578,Products!$A:$F,4,FALSE)</f>
        <v>516</v>
      </c>
      <c r="O1578" t="str">
        <f>VLOOKUP(C1578,Customers!$A:$F,5,FALSE)</f>
        <v>Retail</v>
      </c>
      <c r="P1578">
        <f>VLOOKUP(C1578,Customers!$A:$F,3,FALSE)</f>
        <v>44</v>
      </c>
      <c r="Q1578" t="str">
        <f>VLOOKUP(E1578,Sales_Reps!$A:$E,3,FALSE)</f>
        <v>North</v>
      </c>
      <c r="R1578" t="str">
        <f>VLOOKUP(E1578,Sales_Reps!$A:$E,2,FALSE)</f>
        <v>Kavita Patel</v>
      </c>
      <c r="S1578">
        <f t="shared" si="24"/>
        <v>0.4891089108910891</v>
      </c>
    </row>
    <row r="1579" spans="1:19" x14ac:dyDescent="0.3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  <c r="L1579" t="str">
        <f>VLOOKUP(D1579,Products!$A:$F,3,FALSE)</f>
        <v>Grocery</v>
      </c>
      <c r="M1579" t="b">
        <f>VLOOKUP(D1579,Products!$A:$F,6,FALSE)</f>
        <v>0</v>
      </c>
      <c r="N1579">
        <f>VLOOKUP(D1579,Products!$A:$F,4,FALSE)</f>
        <v>2214</v>
      </c>
      <c r="O1579" t="str">
        <f>VLOOKUP(C1579,Customers!$A:$F,5,FALSE)</f>
        <v>SMB</v>
      </c>
      <c r="P1579">
        <f>VLOOKUP(C1579,Customers!$A:$F,3,FALSE)</f>
        <v>65</v>
      </c>
      <c r="Q1579" t="str">
        <f>VLOOKUP(E1579,Sales_Reps!$A:$E,3,FALSE)</f>
        <v>North</v>
      </c>
      <c r="R1579" t="str">
        <f>VLOOKUP(E1579,Sales_Reps!$A:$E,2,FALSE)</f>
        <v>Vikram Patel</v>
      </c>
      <c r="S1579">
        <f t="shared" si="24"/>
        <v>0.39508196721311473</v>
      </c>
    </row>
    <row r="1580" spans="1:19" x14ac:dyDescent="0.3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  <c r="L1580" t="str">
        <f>VLOOKUP(D1580,Products!$A:$F,3,FALSE)</f>
        <v>Home</v>
      </c>
      <c r="M1580" t="b">
        <f>VLOOKUP(D1580,Products!$A:$F,6,FALSE)</f>
        <v>1</v>
      </c>
      <c r="N1580">
        <f>VLOOKUP(D1580,Products!$A:$F,4,FALSE)</f>
        <v>2549</v>
      </c>
      <c r="O1580" t="str">
        <f>VLOOKUP(C1580,Customers!$A:$F,5,FALSE)</f>
        <v>Retail</v>
      </c>
      <c r="P1580">
        <f>VLOOKUP(C1580,Customers!$A:$F,3,FALSE)</f>
        <v>22</v>
      </c>
      <c r="Q1580" t="str">
        <f>VLOOKUP(E1580,Sales_Reps!$A:$E,3,FALSE)</f>
        <v>South</v>
      </c>
      <c r="R1580" t="str">
        <f>VLOOKUP(E1580,Sales_Reps!$A:$E,2,FALSE)</f>
        <v>Divya Rao</v>
      </c>
      <c r="S1580">
        <f t="shared" si="24"/>
        <v>0.53570127504553733</v>
      </c>
    </row>
    <row r="1581" spans="1:19" x14ac:dyDescent="0.3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  <c r="L1581" t="str">
        <f>VLOOKUP(D1581,Products!$A:$F,3,FALSE)</f>
        <v>Grocery</v>
      </c>
      <c r="M1581" t="b">
        <f>VLOOKUP(D1581,Products!$A:$F,6,FALSE)</f>
        <v>1</v>
      </c>
      <c r="N1581">
        <f>VLOOKUP(D1581,Products!$A:$F,4,FALSE)</f>
        <v>1412</v>
      </c>
      <c r="O1581" t="str">
        <f>VLOOKUP(C1581,Customers!$A:$F,5,FALSE)</f>
        <v>Corporate</v>
      </c>
      <c r="P1581">
        <f>VLOOKUP(C1581,Customers!$A:$F,3,FALSE)</f>
        <v>48</v>
      </c>
      <c r="Q1581" t="str">
        <f>VLOOKUP(E1581,Sales_Reps!$A:$E,3,FALSE)</f>
        <v>North</v>
      </c>
      <c r="R1581" t="str">
        <f>VLOOKUP(E1581,Sales_Reps!$A:$E,2,FALSE)</f>
        <v>Amit Singh</v>
      </c>
      <c r="S1581">
        <f t="shared" si="24"/>
        <v>0.37797356828193834</v>
      </c>
    </row>
    <row r="1582" spans="1:19" x14ac:dyDescent="0.3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  <c r="L1582" t="str">
        <f>VLOOKUP(D1582,Products!$A:$F,3,FALSE)</f>
        <v>Grocery</v>
      </c>
      <c r="M1582" t="b">
        <f>VLOOKUP(D1582,Products!$A:$F,6,FALSE)</f>
        <v>1</v>
      </c>
      <c r="N1582">
        <f>VLOOKUP(D1582,Products!$A:$F,4,FALSE)</f>
        <v>1412</v>
      </c>
      <c r="O1582" t="str">
        <f>VLOOKUP(C1582,Customers!$A:$F,5,FALSE)</f>
        <v>Retail</v>
      </c>
      <c r="P1582">
        <f>VLOOKUP(C1582,Customers!$A:$F,3,FALSE)</f>
        <v>25</v>
      </c>
      <c r="Q1582" t="str">
        <f>VLOOKUP(E1582,Sales_Reps!$A:$E,3,FALSE)</f>
        <v>South</v>
      </c>
      <c r="R1582" t="str">
        <f>VLOOKUP(E1582,Sales_Reps!$A:$E,2,FALSE)</f>
        <v>Deepak Shah</v>
      </c>
      <c r="S1582">
        <f t="shared" si="24"/>
        <v>0.37797356828193834</v>
      </c>
    </row>
    <row r="1583" spans="1:19" x14ac:dyDescent="0.3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  <c r="L1583" t="str">
        <f>VLOOKUP(D1583,Products!$A:$F,3,FALSE)</f>
        <v>Electronics</v>
      </c>
      <c r="M1583" t="b">
        <f>VLOOKUP(D1583,Products!$A:$F,6,FALSE)</f>
        <v>1</v>
      </c>
      <c r="N1583">
        <f>VLOOKUP(D1583,Products!$A:$F,4,FALSE)</f>
        <v>1052</v>
      </c>
      <c r="O1583" t="str">
        <f>VLOOKUP(C1583,Customers!$A:$F,5,FALSE)</f>
        <v>SMB</v>
      </c>
      <c r="P1583">
        <f>VLOOKUP(C1583,Customers!$A:$F,3,FALSE)</f>
        <v>60</v>
      </c>
      <c r="Q1583" t="str">
        <f>VLOOKUP(E1583,Sales_Reps!$A:$E,3,FALSE)</f>
        <v>East</v>
      </c>
      <c r="R1583" t="str">
        <f>VLOOKUP(E1583,Sales_Reps!$A:$E,2,FALSE)</f>
        <v>Shalini Patel</v>
      </c>
      <c r="S1583">
        <f t="shared" si="24"/>
        <v>0.5953846153846154</v>
      </c>
    </row>
    <row r="1584" spans="1:19" x14ac:dyDescent="0.3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  <c r="L1584" t="str">
        <f>VLOOKUP(D1584,Products!$A:$F,3,FALSE)</f>
        <v>Electronics</v>
      </c>
      <c r="M1584" t="b">
        <f>VLOOKUP(D1584,Products!$A:$F,6,FALSE)</f>
        <v>1</v>
      </c>
      <c r="N1584">
        <f>VLOOKUP(D1584,Products!$A:$F,4,FALSE)</f>
        <v>1559</v>
      </c>
      <c r="O1584" t="str">
        <f>VLOOKUP(C1584,Customers!$A:$F,5,FALSE)</f>
        <v>Retail</v>
      </c>
      <c r="P1584">
        <f>VLOOKUP(C1584,Customers!$A:$F,3,FALSE)</f>
        <v>34</v>
      </c>
      <c r="Q1584" t="str">
        <f>VLOOKUP(E1584,Sales_Reps!$A:$E,3,FALSE)</f>
        <v>West</v>
      </c>
      <c r="R1584" t="str">
        <f>VLOOKUP(E1584,Sales_Reps!$A:$E,2,FALSE)</f>
        <v>Ramesh Bhatt</v>
      </c>
      <c r="S1584">
        <f t="shared" si="24"/>
        <v>0.59715762273901807</v>
      </c>
    </row>
    <row r="1585" spans="1:19" x14ac:dyDescent="0.3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  <c r="L1585" t="str">
        <f>VLOOKUP(D1585,Products!$A:$F,3,FALSE)</f>
        <v>Electronics</v>
      </c>
      <c r="M1585" t="b">
        <f>VLOOKUP(D1585,Products!$A:$F,6,FALSE)</f>
        <v>1</v>
      </c>
      <c r="N1585">
        <f>VLOOKUP(D1585,Products!$A:$F,4,FALSE)</f>
        <v>2865</v>
      </c>
      <c r="O1585" t="str">
        <f>VLOOKUP(C1585,Customers!$A:$F,5,FALSE)</f>
        <v>SMB</v>
      </c>
      <c r="P1585">
        <f>VLOOKUP(C1585,Customers!$A:$F,3,FALSE)</f>
        <v>53</v>
      </c>
      <c r="Q1585" t="str">
        <f>VLOOKUP(E1585,Sales_Reps!$A:$E,3,FALSE)</f>
        <v>North</v>
      </c>
      <c r="R1585" t="str">
        <f>VLOOKUP(E1585,Sales_Reps!$A:$E,2,FALSE)</f>
        <v>Neha Desai</v>
      </c>
      <c r="S1585">
        <f t="shared" si="24"/>
        <v>0.27833753148614609</v>
      </c>
    </row>
    <row r="1586" spans="1:19" x14ac:dyDescent="0.3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  <c r="L1586" t="str">
        <f>VLOOKUP(D1586,Products!$A:$F,3,FALSE)</f>
        <v>Beauty</v>
      </c>
      <c r="M1586" t="b">
        <f>VLOOKUP(D1586,Products!$A:$F,6,FALSE)</f>
        <v>1</v>
      </c>
      <c r="N1586">
        <f>VLOOKUP(D1586,Products!$A:$F,4,FALSE)</f>
        <v>675</v>
      </c>
      <c r="O1586" t="str">
        <f>VLOOKUP(C1586,Customers!$A:$F,5,FALSE)</f>
        <v>Retail</v>
      </c>
      <c r="P1586">
        <f>VLOOKUP(C1586,Customers!$A:$F,3,FALSE)</f>
        <v>28</v>
      </c>
      <c r="Q1586" t="str">
        <f>VLOOKUP(E1586,Sales_Reps!$A:$E,3,FALSE)</f>
        <v>West</v>
      </c>
      <c r="R1586" t="str">
        <f>VLOOKUP(E1586,Sales_Reps!$A:$E,2,FALSE)</f>
        <v>Preeti Shah</v>
      </c>
      <c r="S1586">
        <f t="shared" si="24"/>
        <v>0.296875</v>
      </c>
    </row>
    <row r="1587" spans="1:19" x14ac:dyDescent="0.3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  <c r="L1587" t="str">
        <f>VLOOKUP(D1587,Products!$A:$F,3,FALSE)</f>
        <v>Sports</v>
      </c>
      <c r="M1587" t="b">
        <f>VLOOKUP(D1587,Products!$A:$F,6,FALSE)</f>
        <v>1</v>
      </c>
      <c r="N1587">
        <f>VLOOKUP(D1587,Products!$A:$F,4,FALSE)</f>
        <v>2265</v>
      </c>
      <c r="O1587" t="str">
        <f>VLOOKUP(C1587,Customers!$A:$F,5,FALSE)</f>
        <v>Retail</v>
      </c>
      <c r="P1587">
        <f>VLOOKUP(C1587,Customers!$A:$F,3,FALSE)</f>
        <v>63</v>
      </c>
      <c r="Q1587" t="str">
        <f>VLOOKUP(E1587,Sales_Reps!$A:$E,3,FALSE)</f>
        <v>West</v>
      </c>
      <c r="R1587" t="str">
        <f>VLOOKUP(E1587,Sales_Reps!$A:$E,2,FALSE)</f>
        <v>Ashok Reddy</v>
      </c>
      <c r="S1587">
        <f t="shared" si="24"/>
        <v>0.58133086876155271</v>
      </c>
    </row>
    <row r="1588" spans="1:19" x14ac:dyDescent="0.3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  <c r="L1588" t="str">
        <f>VLOOKUP(D1588,Products!$A:$F,3,FALSE)</f>
        <v>Apparel</v>
      </c>
      <c r="M1588" t="b">
        <f>VLOOKUP(D1588,Products!$A:$F,6,FALSE)</f>
        <v>1</v>
      </c>
      <c r="N1588">
        <f>VLOOKUP(D1588,Products!$A:$F,4,FALSE)</f>
        <v>1748</v>
      </c>
      <c r="O1588" t="str">
        <f>VLOOKUP(C1588,Customers!$A:$F,5,FALSE)</f>
        <v>Corporate</v>
      </c>
      <c r="P1588">
        <f>VLOOKUP(C1588,Customers!$A:$F,3,FALSE)</f>
        <v>44</v>
      </c>
      <c r="Q1588" t="str">
        <f>VLOOKUP(E1588,Sales_Reps!$A:$E,3,FALSE)</f>
        <v>North</v>
      </c>
      <c r="R1588" t="str">
        <f>VLOOKUP(E1588,Sales_Reps!$A:$E,2,FALSE)</f>
        <v>Vikram Patel</v>
      </c>
      <c r="S1588">
        <f t="shared" si="24"/>
        <v>0.49333333333333335</v>
      </c>
    </row>
    <row r="1589" spans="1:19" x14ac:dyDescent="0.3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  <c r="L1589" t="str">
        <f>VLOOKUP(D1589,Products!$A:$F,3,FALSE)</f>
        <v>Beauty</v>
      </c>
      <c r="M1589" t="b">
        <f>VLOOKUP(D1589,Products!$A:$F,6,FALSE)</f>
        <v>1</v>
      </c>
      <c r="N1589">
        <f>VLOOKUP(D1589,Products!$A:$F,4,FALSE)</f>
        <v>1626</v>
      </c>
      <c r="O1589" t="str">
        <f>VLOOKUP(C1589,Customers!$A:$F,5,FALSE)</f>
        <v>Retail</v>
      </c>
      <c r="P1589">
        <f>VLOOKUP(C1589,Customers!$A:$F,3,FALSE)</f>
        <v>53</v>
      </c>
      <c r="Q1589" t="str">
        <f>VLOOKUP(E1589,Sales_Reps!$A:$E,3,FALSE)</f>
        <v>North</v>
      </c>
      <c r="R1589" t="str">
        <f>VLOOKUP(E1589,Sales_Reps!$A:$E,2,FALSE)</f>
        <v>Kavita Patel</v>
      </c>
      <c r="S1589">
        <f t="shared" si="24"/>
        <v>0.46158940397350995</v>
      </c>
    </row>
    <row r="1590" spans="1:19" x14ac:dyDescent="0.3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  <c r="L1590" t="str">
        <f>VLOOKUP(D1590,Products!$A:$F,3,FALSE)</f>
        <v>Sports</v>
      </c>
      <c r="M1590" t="b">
        <f>VLOOKUP(D1590,Products!$A:$F,6,FALSE)</f>
        <v>1</v>
      </c>
      <c r="N1590">
        <f>VLOOKUP(D1590,Products!$A:$F,4,FALSE)</f>
        <v>147</v>
      </c>
      <c r="O1590" t="str">
        <f>VLOOKUP(C1590,Customers!$A:$F,5,FALSE)</f>
        <v>SMB</v>
      </c>
      <c r="P1590">
        <f>VLOOKUP(C1590,Customers!$A:$F,3,FALSE)</f>
        <v>54</v>
      </c>
      <c r="Q1590" t="str">
        <f>VLOOKUP(E1590,Sales_Reps!$A:$E,3,FALSE)</f>
        <v>North</v>
      </c>
      <c r="R1590" t="str">
        <f>VLOOKUP(E1590,Sales_Reps!$A:$E,2,FALSE)</f>
        <v>Sunita Malhotra</v>
      </c>
      <c r="S1590">
        <f t="shared" si="24"/>
        <v>0.22631578947368422</v>
      </c>
    </row>
    <row r="1591" spans="1:19" x14ac:dyDescent="0.3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  <c r="L1591" t="str">
        <f>VLOOKUP(D1591,Products!$A:$F,3,FALSE)</f>
        <v>Home</v>
      </c>
      <c r="M1591" t="b">
        <f>VLOOKUP(D1591,Products!$A:$F,6,FALSE)</f>
        <v>1</v>
      </c>
      <c r="N1591">
        <f>VLOOKUP(D1591,Products!$A:$F,4,FALSE)</f>
        <v>2135</v>
      </c>
      <c r="O1591" t="str">
        <f>VLOOKUP(C1591,Customers!$A:$F,5,FALSE)</f>
        <v>SMB</v>
      </c>
      <c r="P1591">
        <f>VLOOKUP(C1591,Customers!$A:$F,3,FALSE)</f>
        <v>44</v>
      </c>
      <c r="Q1591" t="str">
        <f>VLOOKUP(E1591,Sales_Reps!$A:$E,3,FALSE)</f>
        <v>South</v>
      </c>
      <c r="R1591" t="str">
        <f>VLOOKUP(E1591,Sales_Reps!$A:$E,2,FALSE)</f>
        <v>Pooja Nair</v>
      </c>
      <c r="S1591">
        <f t="shared" si="24"/>
        <v>0.42761394101876676</v>
      </c>
    </row>
    <row r="1592" spans="1:19" x14ac:dyDescent="0.3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  <c r="L1592" t="str">
        <f>VLOOKUP(D1592,Products!$A:$F,3,FALSE)</f>
        <v>Sports</v>
      </c>
      <c r="M1592" t="b">
        <f>VLOOKUP(D1592,Products!$A:$F,6,FALSE)</f>
        <v>1</v>
      </c>
      <c r="N1592">
        <f>VLOOKUP(D1592,Products!$A:$F,4,FALSE)</f>
        <v>2467</v>
      </c>
      <c r="O1592" t="str">
        <f>VLOOKUP(C1592,Customers!$A:$F,5,FALSE)</f>
        <v>SMB</v>
      </c>
      <c r="P1592">
        <f>VLOOKUP(C1592,Customers!$A:$F,3,FALSE)</f>
        <v>47</v>
      </c>
      <c r="Q1592" t="str">
        <f>VLOOKUP(E1592,Sales_Reps!$A:$E,3,FALSE)</f>
        <v>West</v>
      </c>
      <c r="R1592" t="str">
        <f>VLOOKUP(E1592,Sales_Reps!$A:$E,2,FALSE)</f>
        <v>Ashok Reddy</v>
      </c>
      <c r="S1592">
        <f t="shared" si="24"/>
        <v>0.28492753623188405</v>
      </c>
    </row>
    <row r="1593" spans="1:19" x14ac:dyDescent="0.3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  <c r="L1593" t="str">
        <f>VLOOKUP(D1593,Products!$A:$F,3,FALSE)</f>
        <v>Electronics</v>
      </c>
      <c r="M1593" t="b">
        <f>VLOOKUP(D1593,Products!$A:$F,6,FALSE)</f>
        <v>1</v>
      </c>
      <c r="N1593">
        <f>VLOOKUP(D1593,Products!$A:$F,4,FALSE)</f>
        <v>2865</v>
      </c>
      <c r="O1593" t="str">
        <f>VLOOKUP(C1593,Customers!$A:$F,5,FALSE)</f>
        <v>Corporate</v>
      </c>
      <c r="P1593">
        <f>VLOOKUP(C1593,Customers!$A:$F,3,FALSE)</f>
        <v>36</v>
      </c>
      <c r="Q1593" t="str">
        <f>VLOOKUP(E1593,Sales_Reps!$A:$E,3,FALSE)</f>
        <v>North</v>
      </c>
      <c r="R1593" t="str">
        <f>VLOOKUP(E1593,Sales_Reps!$A:$E,2,FALSE)</f>
        <v>Sunita Malhotra</v>
      </c>
      <c r="S1593">
        <f t="shared" si="24"/>
        <v>0.27833753148614609</v>
      </c>
    </row>
    <row r="1594" spans="1:19" x14ac:dyDescent="0.3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  <c r="L1594" t="str">
        <f>VLOOKUP(D1594,Products!$A:$F,3,FALSE)</f>
        <v>Home</v>
      </c>
      <c r="M1594" t="b">
        <f>VLOOKUP(D1594,Products!$A:$F,6,FALSE)</f>
        <v>1</v>
      </c>
      <c r="N1594">
        <f>VLOOKUP(D1594,Products!$A:$F,4,FALSE)</f>
        <v>464</v>
      </c>
      <c r="O1594" t="str">
        <f>VLOOKUP(C1594,Customers!$A:$F,5,FALSE)</f>
        <v>Retail</v>
      </c>
      <c r="P1594">
        <f>VLOOKUP(C1594,Customers!$A:$F,3,FALSE)</f>
        <v>52</v>
      </c>
      <c r="Q1594" t="str">
        <f>VLOOKUP(E1594,Sales_Reps!$A:$E,3,FALSE)</f>
        <v>East</v>
      </c>
      <c r="R1594" t="str">
        <f>VLOOKUP(E1594,Sales_Reps!$A:$E,2,FALSE)</f>
        <v>Nisha Menon</v>
      </c>
      <c r="S1594">
        <f t="shared" si="24"/>
        <v>0.57431192660550456</v>
      </c>
    </row>
    <row r="1595" spans="1:19" x14ac:dyDescent="0.3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  <c r="L1595" t="str">
        <f>VLOOKUP(D1595,Products!$A:$F,3,FALSE)</f>
        <v>Home</v>
      </c>
      <c r="M1595" t="b">
        <f>VLOOKUP(D1595,Products!$A:$F,6,FALSE)</f>
        <v>1</v>
      </c>
      <c r="N1595">
        <f>VLOOKUP(D1595,Products!$A:$F,4,FALSE)</f>
        <v>1143</v>
      </c>
      <c r="O1595" t="str">
        <f>VLOOKUP(C1595,Customers!$A:$F,5,FALSE)</f>
        <v>SMB</v>
      </c>
      <c r="P1595">
        <f>VLOOKUP(C1595,Customers!$A:$F,3,FALSE)</f>
        <v>49</v>
      </c>
      <c r="Q1595" t="str">
        <f>VLOOKUP(E1595,Sales_Reps!$A:$E,3,FALSE)</f>
        <v>East</v>
      </c>
      <c r="R1595" t="str">
        <f>VLOOKUP(E1595,Sales_Reps!$A:$E,2,FALSE)</f>
        <v>Vinod Kumar</v>
      </c>
      <c r="S1595">
        <f t="shared" si="24"/>
        <v>0.43694581280788175</v>
      </c>
    </row>
    <row r="1596" spans="1:19" x14ac:dyDescent="0.3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  <c r="L1596" t="str">
        <f>VLOOKUP(D1596,Products!$A:$F,3,FALSE)</f>
        <v>Grocery</v>
      </c>
      <c r="M1596" t="b">
        <f>VLOOKUP(D1596,Products!$A:$F,6,FALSE)</f>
        <v>1</v>
      </c>
      <c r="N1596">
        <f>VLOOKUP(D1596,Products!$A:$F,4,FALSE)</f>
        <v>2027</v>
      </c>
      <c r="O1596" t="str">
        <f>VLOOKUP(C1596,Customers!$A:$F,5,FALSE)</f>
        <v>Corporate</v>
      </c>
      <c r="P1596">
        <f>VLOOKUP(C1596,Customers!$A:$F,3,FALSE)</f>
        <v>22</v>
      </c>
      <c r="Q1596" t="str">
        <f>VLOOKUP(E1596,Sales_Reps!$A:$E,3,FALSE)</f>
        <v>North</v>
      </c>
      <c r="R1596" t="str">
        <f>VLOOKUP(E1596,Sales_Reps!$A:$E,2,FALSE)</f>
        <v>Kavita Patel</v>
      </c>
      <c r="S1596">
        <f t="shared" si="24"/>
        <v>0.50196560196560192</v>
      </c>
    </row>
    <row r="1597" spans="1:19" x14ac:dyDescent="0.3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  <c r="L1597" t="str">
        <f>VLOOKUP(D1597,Products!$A:$F,3,FALSE)</f>
        <v>Apparel</v>
      </c>
      <c r="M1597" t="b">
        <f>VLOOKUP(D1597,Products!$A:$F,6,FALSE)</f>
        <v>1</v>
      </c>
      <c r="N1597">
        <f>VLOOKUP(D1597,Products!$A:$F,4,FALSE)</f>
        <v>2509</v>
      </c>
      <c r="O1597" t="str">
        <f>VLOOKUP(C1597,Customers!$A:$F,5,FALSE)</f>
        <v>Corporate</v>
      </c>
      <c r="P1597">
        <f>VLOOKUP(C1597,Customers!$A:$F,3,FALSE)</f>
        <v>49</v>
      </c>
      <c r="Q1597" t="str">
        <f>VLOOKUP(E1597,Sales_Reps!$A:$E,3,FALSE)</f>
        <v>West</v>
      </c>
      <c r="R1597" t="str">
        <f>VLOOKUP(E1597,Sales_Reps!$A:$E,2,FALSE)</f>
        <v>Preeti Shah</v>
      </c>
      <c r="S1597">
        <f t="shared" si="24"/>
        <v>0.3069060773480663</v>
      </c>
    </row>
    <row r="1598" spans="1:19" x14ac:dyDescent="0.3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  <c r="L1598" t="str">
        <f>VLOOKUP(D1598,Products!$A:$F,3,FALSE)</f>
        <v>Sports</v>
      </c>
      <c r="M1598" t="b">
        <f>VLOOKUP(D1598,Products!$A:$F,6,FALSE)</f>
        <v>1</v>
      </c>
      <c r="N1598">
        <f>VLOOKUP(D1598,Products!$A:$F,4,FALSE)</f>
        <v>516</v>
      </c>
      <c r="O1598" t="str">
        <f>VLOOKUP(C1598,Customers!$A:$F,5,FALSE)</f>
        <v>Retail</v>
      </c>
      <c r="P1598">
        <f>VLOOKUP(C1598,Customers!$A:$F,3,FALSE)</f>
        <v>31</v>
      </c>
      <c r="Q1598" t="str">
        <f>VLOOKUP(E1598,Sales_Reps!$A:$E,3,FALSE)</f>
        <v>North</v>
      </c>
      <c r="R1598" t="str">
        <f>VLOOKUP(E1598,Sales_Reps!$A:$E,2,FALSE)</f>
        <v>Rajesh Malhotra</v>
      </c>
      <c r="S1598">
        <f t="shared" si="24"/>
        <v>0.4891089108910891</v>
      </c>
    </row>
    <row r="1599" spans="1:19" x14ac:dyDescent="0.3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  <c r="L1599" t="str">
        <f>VLOOKUP(D1599,Products!$A:$F,3,FALSE)</f>
        <v>Grocery</v>
      </c>
      <c r="M1599" t="b">
        <f>VLOOKUP(D1599,Products!$A:$F,6,FALSE)</f>
        <v>1</v>
      </c>
      <c r="N1599">
        <f>VLOOKUP(D1599,Products!$A:$F,4,FALSE)</f>
        <v>434</v>
      </c>
      <c r="O1599" t="str">
        <f>VLOOKUP(C1599,Customers!$A:$F,5,FALSE)</f>
        <v>SMB</v>
      </c>
      <c r="P1599">
        <f>VLOOKUP(C1599,Customers!$A:$F,3,FALSE)</f>
        <v>38</v>
      </c>
      <c r="Q1599" t="str">
        <f>VLOOKUP(E1599,Sales_Reps!$A:$E,3,FALSE)</f>
        <v>North</v>
      </c>
      <c r="R1599" t="str">
        <f>VLOOKUP(E1599,Sales_Reps!$A:$E,2,FALSE)</f>
        <v>Vikram Patel</v>
      </c>
      <c r="S1599">
        <f t="shared" si="24"/>
        <v>0.5525773195876289</v>
      </c>
    </row>
    <row r="1600" spans="1:19" x14ac:dyDescent="0.3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  <c r="L1600" t="str">
        <f>VLOOKUP(D1600,Products!$A:$F,3,FALSE)</f>
        <v>Sports</v>
      </c>
      <c r="M1600" t="b">
        <f>VLOOKUP(D1600,Products!$A:$F,6,FALSE)</f>
        <v>0</v>
      </c>
      <c r="N1600">
        <f>VLOOKUP(D1600,Products!$A:$F,4,FALSE)</f>
        <v>302</v>
      </c>
      <c r="O1600" t="str">
        <f>VLOOKUP(C1600,Customers!$A:$F,5,FALSE)</f>
        <v>Retail</v>
      </c>
      <c r="P1600">
        <f>VLOOKUP(C1600,Customers!$A:$F,3,FALSE)</f>
        <v>47</v>
      </c>
      <c r="Q1600" t="str">
        <f>VLOOKUP(E1600,Sales_Reps!$A:$E,3,FALSE)</f>
        <v>West</v>
      </c>
      <c r="R1600" t="str">
        <f>VLOOKUP(E1600,Sales_Reps!$A:$E,2,FALSE)</f>
        <v>Ramesh Bhatt</v>
      </c>
      <c r="S1600">
        <f t="shared" si="24"/>
        <v>0.35744680851063831</v>
      </c>
    </row>
    <row r="1601" spans="1:19" x14ac:dyDescent="0.3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  <c r="L1601" t="str">
        <f>VLOOKUP(D1601,Products!$A:$F,3,FALSE)</f>
        <v>Apparel</v>
      </c>
      <c r="M1601" t="b">
        <f>VLOOKUP(D1601,Products!$A:$F,6,FALSE)</f>
        <v>1</v>
      </c>
      <c r="N1601">
        <f>VLOOKUP(D1601,Products!$A:$F,4,FALSE)</f>
        <v>1748</v>
      </c>
      <c r="O1601" t="str">
        <f>VLOOKUP(C1601,Customers!$A:$F,5,FALSE)</f>
        <v>Retail</v>
      </c>
      <c r="P1601">
        <f>VLOOKUP(C1601,Customers!$A:$F,3,FALSE)</f>
        <v>37</v>
      </c>
      <c r="Q1601" t="str">
        <f>VLOOKUP(E1601,Sales_Reps!$A:$E,3,FALSE)</f>
        <v>South</v>
      </c>
      <c r="R1601" t="str">
        <f>VLOOKUP(E1601,Sales_Reps!$A:$E,2,FALSE)</f>
        <v>Divya Rao</v>
      </c>
      <c r="S1601">
        <f t="shared" si="24"/>
        <v>0.49333333333333335</v>
      </c>
    </row>
    <row r="1602" spans="1:19" x14ac:dyDescent="0.3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  <c r="L1602" t="str">
        <f>VLOOKUP(D1602,Products!$A:$F,3,FALSE)</f>
        <v>Electronics</v>
      </c>
      <c r="M1602" t="b">
        <f>VLOOKUP(D1602,Products!$A:$F,6,FALSE)</f>
        <v>1</v>
      </c>
      <c r="N1602">
        <f>VLOOKUP(D1602,Products!$A:$F,4,FALSE)</f>
        <v>1149</v>
      </c>
      <c r="O1602" t="str">
        <f>VLOOKUP(C1602,Customers!$A:$F,5,FALSE)</f>
        <v>Corporate</v>
      </c>
      <c r="P1602">
        <f>VLOOKUP(C1602,Customers!$A:$F,3,FALSE)</f>
        <v>40</v>
      </c>
      <c r="Q1602" t="str">
        <f>VLOOKUP(E1602,Sales_Reps!$A:$E,3,FALSE)</f>
        <v>East</v>
      </c>
      <c r="R1602" t="str">
        <f>VLOOKUP(E1602,Sales_Reps!$A:$E,2,FALSE)</f>
        <v>Nisha Menon</v>
      </c>
      <c r="S1602">
        <f t="shared" si="24"/>
        <v>0.56477272727272732</v>
      </c>
    </row>
    <row r="1603" spans="1:19" x14ac:dyDescent="0.3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  <c r="L1603" t="str">
        <f>VLOOKUP(D1603,Products!$A:$F,3,FALSE)</f>
        <v>Electronics</v>
      </c>
      <c r="M1603" t="b">
        <f>VLOOKUP(D1603,Products!$A:$F,6,FALSE)</f>
        <v>1</v>
      </c>
      <c r="N1603">
        <f>VLOOKUP(D1603,Products!$A:$F,4,FALSE)</f>
        <v>1665</v>
      </c>
      <c r="O1603" t="str">
        <f>VLOOKUP(C1603,Customers!$A:$F,5,FALSE)</f>
        <v>Retail</v>
      </c>
      <c r="P1603">
        <f>VLOOKUP(C1603,Customers!$A:$F,3,FALSE)</f>
        <v>26</v>
      </c>
      <c r="Q1603" t="str">
        <f>VLOOKUP(E1603,Sales_Reps!$A:$E,3,FALSE)</f>
        <v>East</v>
      </c>
      <c r="R1603" t="str">
        <f>VLOOKUP(E1603,Sales_Reps!$A:$E,2,FALSE)</f>
        <v>Meera Iyer</v>
      </c>
      <c r="S1603">
        <f t="shared" ref="S1603:S1666" si="25">IFERROR((G1603-N1603)/G1603,"")</f>
        <v>0.53361344537815125</v>
      </c>
    </row>
    <row r="1604" spans="1:19" x14ac:dyDescent="0.3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  <c r="L1604" t="str">
        <f>VLOOKUP(D1604,Products!$A:$F,3,FALSE)</f>
        <v>Electronics</v>
      </c>
      <c r="M1604" t="b">
        <f>VLOOKUP(D1604,Products!$A:$F,6,FALSE)</f>
        <v>1</v>
      </c>
      <c r="N1604">
        <f>VLOOKUP(D1604,Products!$A:$F,4,FALSE)</f>
        <v>861</v>
      </c>
      <c r="O1604" t="str">
        <f>VLOOKUP(C1604,Customers!$A:$F,5,FALSE)</f>
        <v>Retail</v>
      </c>
      <c r="P1604">
        <f>VLOOKUP(C1604,Customers!$A:$F,3,FALSE)</f>
        <v>22</v>
      </c>
      <c r="Q1604" t="str">
        <f>VLOOKUP(E1604,Sales_Reps!$A:$E,3,FALSE)</f>
        <v>South</v>
      </c>
      <c r="R1604" t="str">
        <f>VLOOKUP(E1604,Sales_Reps!$A:$E,2,FALSE)</f>
        <v>Anjali Chopra</v>
      </c>
      <c r="S1604">
        <f t="shared" si="25"/>
        <v>0.39790209790209791</v>
      </c>
    </row>
    <row r="1605" spans="1:19" x14ac:dyDescent="0.3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  <c r="L1605" t="str">
        <f>VLOOKUP(D1605,Products!$A:$F,3,FALSE)</f>
        <v>Sports</v>
      </c>
      <c r="M1605" t="b">
        <f>VLOOKUP(D1605,Products!$A:$F,6,FALSE)</f>
        <v>1</v>
      </c>
      <c r="N1605">
        <f>VLOOKUP(D1605,Products!$A:$F,4,FALSE)</f>
        <v>705</v>
      </c>
      <c r="O1605" t="str">
        <f>VLOOKUP(C1605,Customers!$A:$F,5,FALSE)</f>
        <v>Retail</v>
      </c>
      <c r="P1605">
        <f>VLOOKUP(C1605,Customers!$A:$F,3,FALSE)</f>
        <v>32</v>
      </c>
      <c r="Q1605" t="str">
        <f>VLOOKUP(E1605,Sales_Reps!$A:$E,3,FALSE)</f>
        <v>South</v>
      </c>
      <c r="R1605" t="str">
        <f>VLOOKUP(E1605,Sales_Reps!$A:$E,2,FALSE)</f>
        <v>Sanjay Kapoor</v>
      </c>
      <c r="S1605">
        <f t="shared" si="25"/>
        <v>0.265625</v>
      </c>
    </row>
    <row r="1606" spans="1:19" x14ac:dyDescent="0.3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  <c r="L1606" t="str">
        <f>VLOOKUP(D1606,Products!$A:$F,3,FALSE)</f>
        <v>Home</v>
      </c>
      <c r="M1606" t="b">
        <f>VLOOKUP(D1606,Products!$A:$F,6,FALSE)</f>
        <v>1</v>
      </c>
      <c r="N1606">
        <f>VLOOKUP(D1606,Products!$A:$F,4,FALSE)</f>
        <v>1556</v>
      </c>
      <c r="O1606" t="str">
        <f>VLOOKUP(C1606,Customers!$A:$F,5,FALSE)</f>
        <v>Retail</v>
      </c>
      <c r="P1606">
        <f>VLOOKUP(C1606,Customers!$A:$F,3,FALSE)</f>
        <v>27</v>
      </c>
      <c r="Q1606" t="str">
        <f>VLOOKUP(E1606,Sales_Reps!$A:$E,3,FALSE)</f>
        <v>South</v>
      </c>
      <c r="R1606" t="str">
        <f>VLOOKUP(E1606,Sales_Reps!$A:$E,2,FALSE)</f>
        <v>Divya Rao</v>
      </c>
      <c r="S1606">
        <f t="shared" si="25"/>
        <v>0.52123076923076928</v>
      </c>
    </row>
    <row r="1607" spans="1:19" x14ac:dyDescent="0.3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  <c r="L1607" t="str">
        <f>VLOOKUP(D1607,Products!$A:$F,3,FALSE)</f>
        <v>Sports</v>
      </c>
      <c r="M1607" t="b">
        <f>VLOOKUP(D1607,Products!$A:$F,6,FALSE)</f>
        <v>1</v>
      </c>
      <c r="N1607">
        <f>VLOOKUP(D1607,Products!$A:$F,4,FALSE)</f>
        <v>2467</v>
      </c>
      <c r="O1607" t="str">
        <f>VLOOKUP(C1607,Customers!$A:$F,5,FALSE)</f>
        <v>Corporate</v>
      </c>
      <c r="P1607">
        <f>VLOOKUP(C1607,Customers!$A:$F,3,FALSE)</f>
        <v>22</v>
      </c>
      <c r="Q1607" t="str">
        <f>VLOOKUP(E1607,Sales_Reps!$A:$E,3,FALSE)</f>
        <v>East</v>
      </c>
      <c r="R1607" t="str">
        <f>VLOOKUP(E1607,Sales_Reps!$A:$E,2,FALSE)</f>
        <v>Shalini Patel</v>
      </c>
      <c r="S1607">
        <f t="shared" si="25"/>
        <v>0.28492753623188405</v>
      </c>
    </row>
    <row r="1608" spans="1:19" x14ac:dyDescent="0.3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  <c r="L1608" t="str">
        <f>VLOOKUP(D1608,Products!$A:$F,3,FALSE)</f>
        <v>Grocery</v>
      </c>
      <c r="M1608" t="b">
        <f>VLOOKUP(D1608,Products!$A:$F,6,FALSE)</f>
        <v>1</v>
      </c>
      <c r="N1608">
        <f>VLOOKUP(D1608,Products!$A:$F,4,FALSE)</f>
        <v>1203</v>
      </c>
      <c r="O1608" t="str">
        <f>VLOOKUP(C1608,Customers!$A:$F,5,FALSE)</f>
        <v>SMB</v>
      </c>
      <c r="P1608">
        <f>VLOOKUP(C1608,Customers!$A:$F,3,FALSE)</f>
        <v>40</v>
      </c>
      <c r="Q1608" t="str">
        <f>VLOOKUP(E1608,Sales_Reps!$A:$E,3,FALSE)</f>
        <v>South</v>
      </c>
      <c r="R1608" t="str">
        <f>VLOOKUP(E1608,Sales_Reps!$A:$E,2,FALSE)</f>
        <v>Anjali Chopra</v>
      </c>
      <c r="S1608">
        <f t="shared" si="25"/>
        <v>0.47004405286343615</v>
      </c>
    </row>
    <row r="1609" spans="1:19" x14ac:dyDescent="0.3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  <c r="L1609" t="str">
        <f>VLOOKUP(D1609,Products!$A:$F,3,FALSE)</f>
        <v>Beauty</v>
      </c>
      <c r="M1609" t="b">
        <f>VLOOKUP(D1609,Products!$A:$F,6,FALSE)</f>
        <v>1</v>
      </c>
      <c r="N1609">
        <f>VLOOKUP(D1609,Products!$A:$F,4,FALSE)</f>
        <v>1626</v>
      </c>
      <c r="O1609" t="str">
        <f>VLOOKUP(C1609,Customers!$A:$F,5,FALSE)</f>
        <v>Retail</v>
      </c>
      <c r="P1609">
        <f>VLOOKUP(C1609,Customers!$A:$F,3,FALSE)</f>
        <v>46</v>
      </c>
      <c r="Q1609" t="str">
        <f>VLOOKUP(E1609,Sales_Reps!$A:$E,3,FALSE)</f>
        <v>East</v>
      </c>
      <c r="R1609" t="str">
        <f>VLOOKUP(E1609,Sales_Reps!$A:$E,2,FALSE)</f>
        <v>Prakash Shah</v>
      </c>
      <c r="S1609">
        <f t="shared" si="25"/>
        <v>0.46158940397350995</v>
      </c>
    </row>
    <row r="1610" spans="1:19" x14ac:dyDescent="0.3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  <c r="L1610" t="str">
        <f>VLOOKUP(D1610,Products!$A:$F,3,FALSE)</f>
        <v>Electronics</v>
      </c>
      <c r="M1610" t="b">
        <f>VLOOKUP(D1610,Products!$A:$F,6,FALSE)</f>
        <v>1</v>
      </c>
      <c r="N1610">
        <f>VLOOKUP(D1610,Products!$A:$F,4,FALSE)</f>
        <v>1149</v>
      </c>
      <c r="O1610" t="str">
        <f>VLOOKUP(C1610,Customers!$A:$F,5,FALSE)</f>
        <v>Retail</v>
      </c>
      <c r="P1610">
        <f>VLOOKUP(C1610,Customers!$A:$F,3,FALSE)</f>
        <v>55</v>
      </c>
      <c r="Q1610" t="str">
        <f>VLOOKUP(E1610,Sales_Reps!$A:$E,3,FALSE)</f>
        <v>North</v>
      </c>
      <c r="R1610" t="str">
        <f>VLOOKUP(E1610,Sales_Reps!$A:$E,2,FALSE)</f>
        <v>Kavita Patel</v>
      </c>
      <c r="S1610">
        <f t="shared" si="25"/>
        <v>0.56477272727272732</v>
      </c>
    </row>
    <row r="1611" spans="1:19" x14ac:dyDescent="0.3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  <c r="L1611" t="str">
        <f>VLOOKUP(D1611,Products!$A:$F,3,FALSE)</f>
        <v>Grocery</v>
      </c>
      <c r="M1611" t="b">
        <f>VLOOKUP(D1611,Products!$A:$F,6,FALSE)</f>
        <v>1</v>
      </c>
      <c r="N1611">
        <f>VLOOKUP(D1611,Products!$A:$F,4,FALSE)</f>
        <v>1203</v>
      </c>
      <c r="O1611" t="str">
        <f>VLOOKUP(C1611,Customers!$A:$F,5,FALSE)</f>
        <v>Retail</v>
      </c>
      <c r="P1611">
        <f>VLOOKUP(C1611,Customers!$A:$F,3,FALSE)</f>
        <v>42</v>
      </c>
      <c r="Q1611" t="str">
        <f>VLOOKUP(E1611,Sales_Reps!$A:$E,3,FALSE)</f>
        <v>West</v>
      </c>
      <c r="R1611" t="str">
        <f>VLOOKUP(E1611,Sales_Reps!$A:$E,2,FALSE)</f>
        <v>Ramesh Bhatt</v>
      </c>
      <c r="S1611">
        <f t="shared" si="25"/>
        <v>0.47004405286343615</v>
      </c>
    </row>
    <row r="1612" spans="1:19" x14ac:dyDescent="0.3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  <c r="L1612" t="str">
        <f>VLOOKUP(D1612,Products!$A:$F,3,FALSE)</f>
        <v>Grocery</v>
      </c>
      <c r="M1612" t="b">
        <f>VLOOKUP(D1612,Products!$A:$F,6,FALSE)</f>
        <v>1</v>
      </c>
      <c r="N1612">
        <f>VLOOKUP(D1612,Products!$A:$F,4,FALSE)</f>
        <v>1435</v>
      </c>
      <c r="O1612" t="str">
        <f>VLOOKUP(C1612,Customers!$A:$F,5,FALSE)</f>
        <v>Retail</v>
      </c>
      <c r="P1612">
        <f>VLOOKUP(C1612,Customers!$A:$F,3,FALSE)</f>
        <v>36</v>
      </c>
      <c r="Q1612" t="str">
        <f>VLOOKUP(E1612,Sales_Reps!$A:$E,3,FALSE)</f>
        <v>West</v>
      </c>
      <c r="R1612" t="str">
        <f>VLOOKUP(E1612,Sales_Reps!$A:$E,2,FALSE)</f>
        <v>Ramesh Bhatt</v>
      </c>
      <c r="S1612">
        <f t="shared" si="25"/>
        <v>0.48007246376811596</v>
      </c>
    </row>
    <row r="1613" spans="1:19" x14ac:dyDescent="0.3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  <c r="L1613" t="str">
        <f>VLOOKUP(D1613,Products!$A:$F,3,FALSE)</f>
        <v>Apparel</v>
      </c>
      <c r="M1613" t="b">
        <f>VLOOKUP(D1613,Products!$A:$F,6,FALSE)</f>
        <v>1</v>
      </c>
      <c r="N1613">
        <f>VLOOKUP(D1613,Products!$A:$F,4,FALSE)</f>
        <v>2509</v>
      </c>
      <c r="O1613" t="str">
        <f>VLOOKUP(C1613,Customers!$A:$F,5,FALSE)</f>
        <v>Retail</v>
      </c>
      <c r="P1613">
        <f>VLOOKUP(C1613,Customers!$A:$F,3,FALSE)</f>
        <v>31</v>
      </c>
      <c r="Q1613" t="str">
        <f>VLOOKUP(E1613,Sales_Reps!$A:$E,3,FALSE)</f>
        <v>East</v>
      </c>
      <c r="R1613" t="str">
        <f>VLOOKUP(E1613,Sales_Reps!$A:$E,2,FALSE)</f>
        <v>Vinod Kumar</v>
      </c>
      <c r="S1613">
        <f t="shared" si="25"/>
        <v>0.3069060773480663</v>
      </c>
    </row>
    <row r="1614" spans="1:19" x14ac:dyDescent="0.3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  <c r="L1614" t="str">
        <f>VLOOKUP(D1614,Products!$A:$F,3,FALSE)</f>
        <v>Beauty</v>
      </c>
      <c r="M1614" t="b">
        <f>VLOOKUP(D1614,Products!$A:$F,6,FALSE)</f>
        <v>1</v>
      </c>
      <c r="N1614">
        <f>VLOOKUP(D1614,Products!$A:$F,4,FALSE)</f>
        <v>1219</v>
      </c>
      <c r="O1614" t="str">
        <f>VLOOKUP(C1614,Customers!$A:$F,5,FALSE)</f>
        <v>Retail</v>
      </c>
      <c r="P1614">
        <f>VLOOKUP(C1614,Customers!$A:$F,3,FALSE)</f>
        <v>54</v>
      </c>
      <c r="Q1614" t="str">
        <f>VLOOKUP(E1614,Sales_Reps!$A:$E,3,FALSE)</f>
        <v>East</v>
      </c>
      <c r="R1614" t="str">
        <f>VLOOKUP(E1614,Sales_Reps!$A:$E,2,FALSE)</f>
        <v>Gaurav Desai</v>
      </c>
      <c r="S1614">
        <f t="shared" si="25"/>
        <v>0.46768558951965067</v>
      </c>
    </row>
    <row r="1615" spans="1:19" x14ac:dyDescent="0.3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  <c r="L1615" t="str">
        <f>VLOOKUP(D1615,Products!$A:$F,3,FALSE)</f>
        <v>Beauty</v>
      </c>
      <c r="M1615" t="b">
        <f>VLOOKUP(D1615,Products!$A:$F,6,FALSE)</f>
        <v>1</v>
      </c>
      <c r="N1615">
        <f>VLOOKUP(D1615,Products!$A:$F,4,FALSE)</f>
        <v>1222</v>
      </c>
      <c r="O1615" t="str">
        <f>VLOOKUP(C1615,Customers!$A:$F,5,FALSE)</f>
        <v>Corporate</v>
      </c>
      <c r="P1615">
        <f>VLOOKUP(C1615,Customers!$A:$F,3,FALSE)</f>
        <v>41</v>
      </c>
      <c r="Q1615" t="str">
        <f>VLOOKUP(E1615,Sales_Reps!$A:$E,3,FALSE)</f>
        <v>East</v>
      </c>
      <c r="R1615" t="str">
        <f>VLOOKUP(E1615,Sales_Reps!$A:$E,2,FALSE)</f>
        <v>Prakash Shah</v>
      </c>
      <c r="S1615">
        <f t="shared" si="25"/>
        <v>0.2593939393939394</v>
      </c>
    </row>
    <row r="1616" spans="1:19" x14ac:dyDescent="0.3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  <c r="L1616" t="str">
        <f>VLOOKUP(D1616,Products!$A:$F,3,FALSE)</f>
        <v>Electronics</v>
      </c>
      <c r="M1616" t="b">
        <f>VLOOKUP(D1616,Products!$A:$F,6,FALSE)</f>
        <v>1</v>
      </c>
      <c r="N1616">
        <f>VLOOKUP(D1616,Products!$A:$F,4,FALSE)</f>
        <v>2405</v>
      </c>
      <c r="O1616" t="str">
        <f>VLOOKUP(C1616,Customers!$A:$F,5,FALSE)</f>
        <v>Corporate</v>
      </c>
      <c r="P1616">
        <f>VLOOKUP(C1616,Customers!$A:$F,3,FALSE)</f>
        <v>35</v>
      </c>
      <c r="Q1616" t="str">
        <f>VLOOKUP(E1616,Sales_Reps!$A:$E,3,FALSE)</f>
        <v>East</v>
      </c>
      <c r="R1616" t="str">
        <f>VLOOKUP(E1616,Sales_Reps!$A:$E,2,FALSE)</f>
        <v>Shalini Patel</v>
      </c>
      <c r="S1616">
        <f t="shared" si="25"/>
        <v>0.54878048780487809</v>
      </c>
    </row>
    <row r="1617" spans="1:19" x14ac:dyDescent="0.3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  <c r="L1617" t="str">
        <f>VLOOKUP(D1617,Products!$A:$F,3,FALSE)</f>
        <v>Home</v>
      </c>
      <c r="M1617" t="b">
        <f>VLOOKUP(D1617,Products!$A:$F,6,FALSE)</f>
        <v>1</v>
      </c>
      <c r="N1617">
        <f>VLOOKUP(D1617,Products!$A:$F,4,FALSE)</f>
        <v>519</v>
      </c>
      <c r="O1617" t="str">
        <f>VLOOKUP(C1617,Customers!$A:$F,5,FALSE)</f>
        <v>Retail</v>
      </c>
      <c r="P1617">
        <f>VLOOKUP(C1617,Customers!$A:$F,3,FALSE)</f>
        <v>35</v>
      </c>
      <c r="Q1617" t="str">
        <f>VLOOKUP(E1617,Sales_Reps!$A:$E,3,FALSE)</f>
        <v>East</v>
      </c>
      <c r="R1617" t="str">
        <f>VLOOKUP(E1617,Sales_Reps!$A:$E,2,FALSE)</f>
        <v>Nisha Menon</v>
      </c>
      <c r="S1617">
        <f t="shared" si="25"/>
        <v>0.51944444444444449</v>
      </c>
    </row>
    <row r="1618" spans="1:19" x14ac:dyDescent="0.3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  <c r="L1618" t="str">
        <f>VLOOKUP(D1618,Products!$A:$F,3,FALSE)</f>
        <v>Electronics</v>
      </c>
      <c r="M1618" t="b">
        <f>VLOOKUP(D1618,Products!$A:$F,6,FALSE)</f>
        <v>1</v>
      </c>
      <c r="N1618">
        <f>VLOOKUP(D1618,Products!$A:$F,4,FALSE)</f>
        <v>517</v>
      </c>
      <c r="O1618" t="str">
        <f>VLOOKUP(C1618,Customers!$A:$F,5,FALSE)</f>
        <v>Corporate</v>
      </c>
      <c r="P1618">
        <f>VLOOKUP(C1618,Customers!$A:$F,3,FALSE)</f>
        <v>46</v>
      </c>
      <c r="Q1618" t="str">
        <f>VLOOKUP(E1618,Sales_Reps!$A:$E,3,FALSE)</f>
        <v>East</v>
      </c>
      <c r="R1618" t="str">
        <f>VLOOKUP(E1618,Sales_Reps!$A:$E,2,FALSE)</f>
        <v>Nisha Menon</v>
      </c>
      <c r="S1618">
        <f t="shared" si="25"/>
        <v>0.57622950819672136</v>
      </c>
    </row>
    <row r="1619" spans="1:19" x14ac:dyDescent="0.3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  <c r="L1619" t="str">
        <f>VLOOKUP(D1619,Products!$A:$F,3,FALSE)</f>
        <v>Home</v>
      </c>
      <c r="M1619" t="b">
        <f>VLOOKUP(D1619,Products!$A:$F,6,FALSE)</f>
        <v>1</v>
      </c>
      <c r="N1619">
        <f>VLOOKUP(D1619,Products!$A:$F,4,FALSE)</f>
        <v>329</v>
      </c>
      <c r="O1619" t="str">
        <f>VLOOKUP(C1619,Customers!$A:$F,5,FALSE)</f>
        <v>Corporate</v>
      </c>
      <c r="P1619">
        <f>VLOOKUP(C1619,Customers!$A:$F,3,FALSE)</f>
        <v>46</v>
      </c>
      <c r="Q1619" t="str">
        <f>VLOOKUP(E1619,Sales_Reps!$A:$E,3,FALSE)</f>
        <v>West</v>
      </c>
      <c r="R1619" t="str">
        <f>VLOOKUP(E1619,Sales_Reps!$A:$E,2,FALSE)</f>
        <v>Kiran Bhatt</v>
      </c>
      <c r="S1619">
        <f t="shared" si="25"/>
        <v>0.50151515151515147</v>
      </c>
    </row>
    <row r="1620" spans="1:19" x14ac:dyDescent="0.3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  <c r="L1620" t="str">
        <f>VLOOKUP(D1620,Products!$A:$F,3,FALSE)</f>
        <v>Home</v>
      </c>
      <c r="M1620" t="b">
        <f>VLOOKUP(D1620,Products!$A:$F,6,FALSE)</f>
        <v>1</v>
      </c>
      <c r="N1620">
        <f>VLOOKUP(D1620,Products!$A:$F,4,FALSE)</f>
        <v>519</v>
      </c>
      <c r="O1620" t="str">
        <f>VLOOKUP(C1620,Customers!$A:$F,5,FALSE)</f>
        <v>Retail</v>
      </c>
      <c r="P1620">
        <f>VLOOKUP(C1620,Customers!$A:$F,3,FALSE)</f>
        <v>65</v>
      </c>
      <c r="Q1620" t="str">
        <f>VLOOKUP(E1620,Sales_Reps!$A:$E,3,FALSE)</f>
        <v>East</v>
      </c>
      <c r="R1620" t="str">
        <f>VLOOKUP(E1620,Sales_Reps!$A:$E,2,FALSE)</f>
        <v>Meera Iyer</v>
      </c>
      <c r="S1620">
        <f t="shared" si="25"/>
        <v>0.51944444444444449</v>
      </c>
    </row>
    <row r="1621" spans="1:19" x14ac:dyDescent="0.3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  <c r="L1621" t="str">
        <f>VLOOKUP(D1621,Products!$A:$F,3,FALSE)</f>
        <v>Grocery</v>
      </c>
      <c r="M1621" t="b">
        <f>VLOOKUP(D1621,Products!$A:$F,6,FALSE)</f>
        <v>1</v>
      </c>
      <c r="N1621">
        <f>VLOOKUP(D1621,Products!$A:$F,4,FALSE)</f>
        <v>1412</v>
      </c>
      <c r="O1621" t="str">
        <f>VLOOKUP(C1621,Customers!$A:$F,5,FALSE)</f>
        <v>Corporate</v>
      </c>
      <c r="P1621">
        <f>VLOOKUP(C1621,Customers!$A:$F,3,FALSE)</f>
        <v>30</v>
      </c>
      <c r="Q1621" t="str">
        <f>VLOOKUP(E1621,Sales_Reps!$A:$E,3,FALSE)</f>
        <v>East</v>
      </c>
      <c r="R1621" t="str">
        <f>VLOOKUP(E1621,Sales_Reps!$A:$E,2,FALSE)</f>
        <v>Meera Iyer</v>
      </c>
      <c r="S1621">
        <f t="shared" si="25"/>
        <v>0.37797356828193834</v>
      </c>
    </row>
    <row r="1622" spans="1:19" x14ac:dyDescent="0.3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  <c r="L1622" t="str">
        <f>VLOOKUP(D1622,Products!$A:$F,3,FALSE)</f>
        <v>Home</v>
      </c>
      <c r="M1622" t="b">
        <f>VLOOKUP(D1622,Products!$A:$F,6,FALSE)</f>
        <v>1</v>
      </c>
      <c r="N1622">
        <f>VLOOKUP(D1622,Products!$A:$F,4,FALSE)</f>
        <v>288</v>
      </c>
      <c r="O1622" t="str">
        <f>VLOOKUP(C1622,Customers!$A:$F,5,FALSE)</f>
        <v>SMB</v>
      </c>
      <c r="P1622">
        <f>VLOOKUP(C1622,Customers!$A:$F,3,FALSE)</f>
        <v>29</v>
      </c>
      <c r="Q1622" t="str">
        <f>VLOOKUP(E1622,Sales_Reps!$A:$E,3,FALSE)</f>
        <v>West</v>
      </c>
      <c r="R1622" t="str">
        <f>VLOOKUP(E1622,Sales_Reps!$A:$E,2,FALSE)</f>
        <v>Preeti Shah</v>
      </c>
      <c r="S1622">
        <f t="shared" si="25"/>
        <v>0.22162162162162163</v>
      </c>
    </row>
    <row r="1623" spans="1:19" x14ac:dyDescent="0.3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  <c r="L1623" t="str">
        <f>VLOOKUP(D1623,Products!$A:$F,3,FALSE)</f>
        <v>Grocery</v>
      </c>
      <c r="M1623" t="b">
        <f>VLOOKUP(D1623,Products!$A:$F,6,FALSE)</f>
        <v>1</v>
      </c>
      <c r="N1623">
        <f>VLOOKUP(D1623,Products!$A:$F,4,FALSE)</f>
        <v>434</v>
      </c>
      <c r="O1623" t="str">
        <f>VLOOKUP(C1623,Customers!$A:$F,5,FALSE)</f>
        <v>Retail</v>
      </c>
      <c r="P1623">
        <f>VLOOKUP(C1623,Customers!$A:$F,3,FALSE)</f>
        <v>57</v>
      </c>
      <c r="Q1623" t="str">
        <f>VLOOKUP(E1623,Sales_Reps!$A:$E,3,FALSE)</f>
        <v>South</v>
      </c>
      <c r="R1623" t="str">
        <f>VLOOKUP(E1623,Sales_Reps!$A:$E,2,FALSE)</f>
        <v>Manoj Patel</v>
      </c>
      <c r="S1623">
        <f t="shared" si="25"/>
        <v>0.5525773195876289</v>
      </c>
    </row>
    <row r="1624" spans="1:19" x14ac:dyDescent="0.3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  <c r="L1624" t="str">
        <f>VLOOKUP(D1624,Products!$A:$F,3,FALSE)</f>
        <v>Apparel</v>
      </c>
      <c r="M1624" t="b">
        <f>VLOOKUP(D1624,Products!$A:$F,6,FALSE)</f>
        <v>1</v>
      </c>
      <c r="N1624">
        <f>VLOOKUP(D1624,Products!$A:$F,4,FALSE)</f>
        <v>396</v>
      </c>
      <c r="O1624" t="str">
        <f>VLOOKUP(C1624,Customers!$A:$F,5,FALSE)</f>
        <v>Retail</v>
      </c>
      <c r="P1624">
        <f>VLOOKUP(C1624,Customers!$A:$F,3,FALSE)</f>
        <v>54</v>
      </c>
      <c r="Q1624" t="str">
        <f>VLOOKUP(E1624,Sales_Reps!$A:$E,3,FALSE)</f>
        <v>North</v>
      </c>
      <c r="R1624" t="str">
        <f>VLOOKUP(E1624,Sales_Reps!$A:$E,2,FALSE)</f>
        <v>Amit Singh</v>
      </c>
      <c r="S1624">
        <f t="shared" si="25"/>
        <v>0.36129032258064514</v>
      </c>
    </row>
    <row r="1625" spans="1:19" x14ac:dyDescent="0.3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  <c r="L1625" t="str">
        <f>VLOOKUP(D1625,Products!$A:$F,3,FALSE)</f>
        <v>Grocery</v>
      </c>
      <c r="M1625" t="b">
        <f>VLOOKUP(D1625,Products!$A:$F,6,FALSE)</f>
        <v>0</v>
      </c>
      <c r="N1625">
        <f>VLOOKUP(D1625,Products!$A:$F,4,FALSE)</f>
        <v>2214</v>
      </c>
      <c r="O1625" t="str">
        <f>VLOOKUP(C1625,Customers!$A:$F,5,FALSE)</f>
        <v>Corporate</v>
      </c>
      <c r="P1625">
        <f>VLOOKUP(C1625,Customers!$A:$F,3,FALSE)</f>
        <v>62</v>
      </c>
      <c r="Q1625" t="str">
        <f>VLOOKUP(E1625,Sales_Reps!$A:$E,3,FALSE)</f>
        <v>West</v>
      </c>
      <c r="R1625" t="str">
        <f>VLOOKUP(E1625,Sales_Reps!$A:$E,2,FALSE)</f>
        <v>Arun Iyer</v>
      </c>
      <c r="S1625">
        <f t="shared" si="25"/>
        <v>0.39508196721311473</v>
      </c>
    </row>
    <row r="1626" spans="1:19" x14ac:dyDescent="0.3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  <c r="L1626" t="str">
        <f>VLOOKUP(D1626,Products!$A:$F,3,FALSE)</f>
        <v>Grocery</v>
      </c>
      <c r="M1626" t="b">
        <f>VLOOKUP(D1626,Products!$A:$F,6,FALSE)</f>
        <v>1</v>
      </c>
      <c r="N1626">
        <f>VLOOKUP(D1626,Products!$A:$F,4,FALSE)</f>
        <v>1010</v>
      </c>
      <c r="O1626" t="str">
        <f>VLOOKUP(C1626,Customers!$A:$F,5,FALSE)</f>
        <v>Corporate</v>
      </c>
      <c r="P1626">
        <f>VLOOKUP(C1626,Customers!$A:$F,3,FALSE)</f>
        <v>46</v>
      </c>
      <c r="Q1626" t="str">
        <f>VLOOKUP(E1626,Sales_Reps!$A:$E,3,FALSE)</f>
        <v>West</v>
      </c>
      <c r="R1626" t="str">
        <f>VLOOKUP(E1626,Sales_Reps!$A:$E,2,FALSE)</f>
        <v>Rekha Chopra</v>
      </c>
      <c r="S1626">
        <f t="shared" si="25"/>
        <v>0.54298642533936647</v>
      </c>
    </row>
    <row r="1627" spans="1:19" x14ac:dyDescent="0.3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  <c r="L1627" t="str">
        <f>VLOOKUP(D1627,Products!$A:$F,3,FALSE)</f>
        <v>Sports</v>
      </c>
      <c r="M1627" t="b">
        <f>VLOOKUP(D1627,Products!$A:$F,6,FALSE)</f>
        <v>1</v>
      </c>
      <c r="N1627">
        <f>VLOOKUP(D1627,Products!$A:$F,4,FALSE)</f>
        <v>1860</v>
      </c>
      <c r="O1627" t="str">
        <f>VLOOKUP(C1627,Customers!$A:$F,5,FALSE)</f>
        <v>Retail</v>
      </c>
      <c r="P1627">
        <f>VLOOKUP(C1627,Customers!$A:$F,3,FALSE)</f>
        <v>53</v>
      </c>
      <c r="Q1627" t="str">
        <f>VLOOKUP(E1627,Sales_Reps!$A:$E,3,FALSE)</f>
        <v>West</v>
      </c>
      <c r="R1627" t="str">
        <f>VLOOKUP(E1627,Sales_Reps!$A:$E,2,FALSE)</f>
        <v>Preeti Shah</v>
      </c>
      <c r="S1627">
        <f t="shared" si="25"/>
        <v>0.50793650793650791</v>
      </c>
    </row>
    <row r="1628" spans="1:19" x14ac:dyDescent="0.3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  <c r="L1628" t="str">
        <f>VLOOKUP(D1628,Products!$A:$F,3,FALSE)</f>
        <v>Electronics</v>
      </c>
      <c r="M1628" t="b">
        <f>VLOOKUP(D1628,Products!$A:$F,6,FALSE)</f>
        <v>1</v>
      </c>
      <c r="N1628">
        <f>VLOOKUP(D1628,Products!$A:$F,4,FALSE)</f>
        <v>1052</v>
      </c>
      <c r="O1628" t="str">
        <f>VLOOKUP(C1628,Customers!$A:$F,5,FALSE)</f>
        <v>Retail</v>
      </c>
      <c r="P1628">
        <f>VLOOKUP(C1628,Customers!$A:$F,3,FALSE)</f>
        <v>35</v>
      </c>
      <c r="Q1628" t="str">
        <f>VLOOKUP(E1628,Sales_Reps!$A:$E,3,FALSE)</f>
        <v>North</v>
      </c>
      <c r="R1628" t="str">
        <f>VLOOKUP(E1628,Sales_Reps!$A:$E,2,FALSE)</f>
        <v>Vikram Patel</v>
      </c>
      <c r="S1628">
        <f t="shared" si="25"/>
        <v>0.5953846153846154</v>
      </c>
    </row>
    <row r="1629" spans="1:19" x14ac:dyDescent="0.3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  <c r="L1629" t="str">
        <f>VLOOKUP(D1629,Products!$A:$F,3,FALSE)</f>
        <v>Grocery</v>
      </c>
      <c r="M1629" t="b">
        <f>VLOOKUP(D1629,Products!$A:$F,6,FALSE)</f>
        <v>1</v>
      </c>
      <c r="N1629">
        <f>VLOOKUP(D1629,Products!$A:$F,4,FALSE)</f>
        <v>2436</v>
      </c>
      <c r="O1629" t="str">
        <f>VLOOKUP(C1629,Customers!$A:$F,5,FALSE)</f>
        <v>Corporate</v>
      </c>
      <c r="P1629">
        <f>VLOOKUP(C1629,Customers!$A:$F,3,FALSE)</f>
        <v>60</v>
      </c>
      <c r="Q1629" t="str">
        <f>VLOOKUP(E1629,Sales_Reps!$A:$E,3,FALSE)</f>
        <v>East</v>
      </c>
      <c r="R1629" t="str">
        <f>VLOOKUP(E1629,Sales_Reps!$A:$E,2,FALSE)</f>
        <v>Naveen Singh</v>
      </c>
      <c r="S1629">
        <f t="shared" si="25"/>
        <v>0.35555555555555557</v>
      </c>
    </row>
    <row r="1630" spans="1:19" x14ac:dyDescent="0.3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  <c r="L1630" t="str">
        <f>VLOOKUP(D1630,Products!$A:$F,3,FALSE)</f>
        <v>Electronics</v>
      </c>
      <c r="M1630" t="b">
        <f>VLOOKUP(D1630,Products!$A:$F,6,FALSE)</f>
        <v>1</v>
      </c>
      <c r="N1630">
        <f>VLOOKUP(D1630,Products!$A:$F,4,FALSE)</f>
        <v>1149</v>
      </c>
      <c r="O1630" t="str">
        <f>VLOOKUP(C1630,Customers!$A:$F,5,FALSE)</f>
        <v>SMB</v>
      </c>
      <c r="P1630">
        <f>VLOOKUP(C1630,Customers!$A:$F,3,FALSE)</f>
        <v>34</v>
      </c>
      <c r="Q1630" t="str">
        <f>VLOOKUP(E1630,Sales_Reps!$A:$E,3,FALSE)</f>
        <v>North</v>
      </c>
      <c r="R1630" t="str">
        <f>VLOOKUP(E1630,Sales_Reps!$A:$E,2,FALSE)</f>
        <v>Amit Singh</v>
      </c>
      <c r="S1630">
        <f t="shared" si="25"/>
        <v>0.56477272727272732</v>
      </c>
    </row>
    <row r="1631" spans="1:19" x14ac:dyDescent="0.3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  <c r="L1631" t="str">
        <f>VLOOKUP(D1631,Products!$A:$F,3,FALSE)</f>
        <v>Home</v>
      </c>
      <c r="M1631" t="b">
        <f>VLOOKUP(D1631,Products!$A:$F,6,FALSE)</f>
        <v>1</v>
      </c>
      <c r="N1631">
        <f>VLOOKUP(D1631,Products!$A:$F,4,FALSE)</f>
        <v>464</v>
      </c>
      <c r="O1631" t="str">
        <f>VLOOKUP(C1631,Customers!$A:$F,5,FALSE)</f>
        <v>Retail</v>
      </c>
      <c r="P1631">
        <f>VLOOKUP(C1631,Customers!$A:$F,3,FALSE)</f>
        <v>35</v>
      </c>
      <c r="Q1631" t="str">
        <f>VLOOKUP(E1631,Sales_Reps!$A:$E,3,FALSE)</f>
        <v>South</v>
      </c>
      <c r="R1631" t="str">
        <f>VLOOKUP(E1631,Sales_Reps!$A:$E,2,FALSE)</f>
        <v>Sanjay Kapoor</v>
      </c>
      <c r="S1631">
        <f t="shared" si="25"/>
        <v>0.57431192660550456</v>
      </c>
    </row>
    <row r="1632" spans="1:19" x14ac:dyDescent="0.3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  <c r="L1632" t="str">
        <f>VLOOKUP(D1632,Products!$A:$F,3,FALSE)</f>
        <v>Apparel</v>
      </c>
      <c r="M1632" t="b">
        <f>VLOOKUP(D1632,Products!$A:$F,6,FALSE)</f>
        <v>1</v>
      </c>
      <c r="N1632">
        <f>VLOOKUP(D1632,Products!$A:$F,4,FALSE)</f>
        <v>1748</v>
      </c>
      <c r="O1632" t="str">
        <f>VLOOKUP(C1632,Customers!$A:$F,5,FALSE)</f>
        <v>SMB</v>
      </c>
      <c r="P1632">
        <f>VLOOKUP(C1632,Customers!$A:$F,3,FALSE)</f>
        <v>46</v>
      </c>
      <c r="Q1632" t="str">
        <f>VLOOKUP(E1632,Sales_Reps!$A:$E,3,FALSE)</f>
        <v>West</v>
      </c>
      <c r="R1632" t="str">
        <f>VLOOKUP(E1632,Sales_Reps!$A:$E,2,FALSE)</f>
        <v>Rekha Chopra</v>
      </c>
      <c r="S1632">
        <f t="shared" si="25"/>
        <v>0.49333333333333335</v>
      </c>
    </row>
    <row r="1633" spans="1:19" x14ac:dyDescent="0.3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  <c r="L1633" t="str">
        <f>VLOOKUP(D1633,Products!$A:$F,3,FALSE)</f>
        <v>Beauty</v>
      </c>
      <c r="M1633" t="b">
        <f>VLOOKUP(D1633,Products!$A:$F,6,FALSE)</f>
        <v>1</v>
      </c>
      <c r="N1633">
        <f>VLOOKUP(D1633,Products!$A:$F,4,FALSE)</f>
        <v>675</v>
      </c>
      <c r="O1633" t="str">
        <f>VLOOKUP(C1633,Customers!$A:$F,5,FALSE)</f>
        <v>Retail</v>
      </c>
      <c r="P1633">
        <f>VLOOKUP(C1633,Customers!$A:$F,3,FALSE)</f>
        <v>42</v>
      </c>
      <c r="Q1633" t="str">
        <f>VLOOKUP(E1633,Sales_Reps!$A:$E,3,FALSE)</f>
        <v>South</v>
      </c>
      <c r="R1633" t="str">
        <f>VLOOKUP(E1633,Sales_Reps!$A:$E,2,FALSE)</f>
        <v>Deepak Shah</v>
      </c>
      <c r="S1633">
        <f t="shared" si="25"/>
        <v>0.296875</v>
      </c>
    </row>
    <row r="1634" spans="1:19" x14ac:dyDescent="0.3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  <c r="L1634" t="str">
        <f>VLOOKUP(D1634,Products!$A:$F,3,FALSE)</f>
        <v>Grocery</v>
      </c>
      <c r="M1634" t="b">
        <f>VLOOKUP(D1634,Products!$A:$F,6,FALSE)</f>
        <v>0</v>
      </c>
      <c r="N1634">
        <f>VLOOKUP(D1634,Products!$A:$F,4,FALSE)</f>
        <v>2214</v>
      </c>
      <c r="O1634" t="str">
        <f>VLOOKUP(C1634,Customers!$A:$F,5,FALSE)</f>
        <v>SMB</v>
      </c>
      <c r="P1634">
        <f>VLOOKUP(C1634,Customers!$A:$F,3,FALSE)</f>
        <v>49</v>
      </c>
      <c r="Q1634" t="str">
        <f>VLOOKUP(E1634,Sales_Reps!$A:$E,3,FALSE)</f>
        <v>West</v>
      </c>
      <c r="R1634" t="str">
        <f>VLOOKUP(E1634,Sales_Reps!$A:$E,2,FALSE)</f>
        <v>Kiran Bhatt</v>
      </c>
      <c r="S1634">
        <f t="shared" si="25"/>
        <v>0.39508196721311473</v>
      </c>
    </row>
    <row r="1635" spans="1:19" x14ac:dyDescent="0.3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  <c r="L1635" t="str">
        <f>VLOOKUP(D1635,Products!$A:$F,3,FALSE)</f>
        <v>Home</v>
      </c>
      <c r="M1635" t="b">
        <f>VLOOKUP(D1635,Products!$A:$F,6,FALSE)</f>
        <v>1</v>
      </c>
      <c r="N1635">
        <f>VLOOKUP(D1635,Products!$A:$F,4,FALSE)</f>
        <v>2135</v>
      </c>
      <c r="O1635" t="str">
        <f>VLOOKUP(C1635,Customers!$A:$F,5,FALSE)</f>
        <v>Retail</v>
      </c>
      <c r="P1635">
        <f>VLOOKUP(C1635,Customers!$A:$F,3,FALSE)</f>
        <v>43</v>
      </c>
      <c r="Q1635" t="str">
        <f>VLOOKUP(E1635,Sales_Reps!$A:$E,3,FALSE)</f>
        <v>North</v>
      </c>
      <c r="R1635" t="str">
        <f>VLOOKUP(E1635,Sales_Reps!$A:$E,2,FALSE)</f>
        <v>Kavita Patel</v>
      </c>
      <c r="S1635">
        <f t="shared" si="25"/>
        <v>0.42761394101876676</v>
      </c>
    </row>
    <row r="1636" spans="1:19" x14ac:dyDescent="0.3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  <c r="L1636" t="str">
        <f>VLOOKUP(D1636,Products!$A:$F,3,FALSE)</f>
        <v>Grocery</v>
      </c>
      <c r="M1636" t="b">
        <f>VLOOKUP(D1636,Products!$A:$F,6,FALSE)</f>
        <v>1</v>
      </c>
      <c r="N1636">
        <f>VLOOKUP(D1636,Products!$A:$F,4,FALSE)</f>
        <v>2027</v>
      </c>
      <c r="O1636" t="str">
        <f>VLOOKUP(C1636,Customers!$A:$F,5,FALSE)</f>
        <v>Corporate</v>
      </c>
      <c r="P1636">
        <f>VLOOKUP(C1636,Customers!$A:$F,3,FALSE)</f>
        <v>60</v>
      </c>
      <c r="Q1636" t="str">
        <f>VLOOKUP(E1636,Sales_Reps!$A:$E,3,FALSE)</f>
        <v>North</v>
      </c>
      <c r="R1636" t="str">
        <f>VLOOKUP(E1636,Sales_Reps!$A:$E,2,FALSE)</f>
        <v>Priya Singh</v>
      </c>
      <c r="S1636">
        <f t="shared" si="25"/>
        <v>0.50196560196560192</v>
      </c>
    </row>
    <row r="1637" spans="1:19" x14ac:dyDescent="0.3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  <c r="L1637" t="str">
        <f>VLOOKUP(D1637,Products!$A:$F,3,FALSE)</f>
        <v>Electronics</v>
      </c>
      <c r="M1637" t="b">
        <f>VLOOKUP(D1637,Products!$A:$F,6,FALSE)</f>
        <v>0</v>
      </c>
      <c r="N1637">
        <f>VLOOKUP(D1637,Products!$A:$F,4,FALSE)</f>
        <v>1259</v>
      </c>
      <c r="O1637" t="str">
        <f>VLOOKUP(C1637,Customers!$A:$F,5,FALSE)</f>
        <v>SMB</v>
      </c>
      <c r="P1637">
        <f>VLOOKUP(C1637,Customers!$A:$F,3,FALSE)</f>
        <v>65</v>
      </c>
      <c r="Q1637" t="str">
        <f>VLOOKUP(E1637,Sales_Reps!$A:$E,3,FALSE)</f>
        <v>East</v>
      </c>
      <c r="R1637" t="str">
        <f>VLOOKUP(E1637,Sales_Reps!$A:$E,2,FALSE)</f>
        <v>Nisha Menon</v>
      </c>
      <c r="S1637">
        <f t="shared" si="25"/>
        <v>0.52669172932330832</v>
      </c>
    </row>
    <row r="1638" spans="1:19" x14ac:dyDescent="0.3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  <c r="L1638" t="str">
        <f>VLOOKUP(D1638,Products!$A:$F,3,FALSE)</f>
        <v>Home</v>
      </c>
      <c r="M1638" t="b">
        <f>VLOOKUP(D1638,Products!$A:$F,6,FALSE)</f>
        <v>1</v>
      </c>
      <c r="N1638">
        <f>VLOOKUP(D1638,Products!$A:$F,4,FALSE)</f>
        <v>1143</v>
      </c>
      <c r="O1638" t="str">
        <f>VLOOKUP(C1638,Customers!$A:$F,5,FALSE)</f>
        <v>Retail</v>
      </c>
      <c r="P1638">
        <f>VLOOKUP(C1638,Customers!$A:$F,3,FALSE)</f>
        <v>63</v>
      </c>
      <c r="Q1638" t="str">
        <f>VLOOKUP(E1638,Sales_Reps!$A:$E,3,FALSE)</f>
        <v>North</v>
      </c>
      <c r="R1638" t="str">
        <f>VLOOKUP(E1638,Sales_Reps!$A:$E,2,FALSE)</f>
        <v>Amit Singh</v>
      </c>
      <c r="S1638">
        <f t="shared" si="25"/>
        <v>0.43694581280788175</v>
      </c>
    </row>
    <row r="1639" spans="1:19" x14ac:dyDescent="0.3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  <c r="L1639" t="str">
        <f>VLOOKUP(D1639,Products!$A:$F,3,FALSE)</f>
        <v>Grocery</v>
      </c>
      <c r="M1639" t="b">
        <f>VLOOKUP(D1639,Products!$A:$F,6,FALSE)</f>
        <v>0</v>
      </c>
      <c r="N1639">
        <f>VLOOKUP(D1639,Products!$A:$F,4,FALSE)</f>
        <v>2214</v>
      </c>
      <c r="O1639" t="str">
        <f>VLOOKUP(C1639,Customers!$A:$F,5,FALSE)</f>
        <v>Retail</v>
      </c>
      <c r="P1639">
        <f>VLOOKUP(C1639,Customers!$A:$F,3,FALSE)</f>
        <v>28</v>
      </c>
      <c r="Q1639" t="str">
        <f>VLOOKUP(E1639,Sales_Reps!$A:$E,3,FALSE)</f>
        <v>North</v>
      </c>
      <c r="R1639" t="str">
        <f>VLOOKUP(E1639,Sales_Reps!$A:$E,2,FALSE)</f>
        <v>Rajesh Malhotra</v>
      </c>
      <c r="S1639">
        <f t="shared" si="25"/>
        <v>0.39508196721311473</v>
      </c>
    </row>
    <row r="1640" spans="1:19" x14ac:dyDescent="0.3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  <c r="L1640" t="str">
        <f>VLOOKUP(D1640,Products!$A:$F,3,FALSE)</f>
        <v>Electronics</v>
      </c>
      <c r="M1640" t="b">
        <f>VLOOKUP(D1640,Products!$A:$F,6,FALSE)</f>
        <v>0</v>
      </c>
      <c r="N1640">
        <f>VLOOKUP(D1640,Products!$A:$F,4,FALSE)</f>
        <v>1259</v>
      </c>
      <c r="O1640" t="str">
        <f>VLOOKUP(C1640,Customers!$A:$F,5,FALSE)</f>
        <v>Retail</v>
      </c>
      <c r="P1640">
        <f>VLOOKUP(C1640,Customers!$A:$F,3,FALSE)</f>
        <v>42</v>
      </c>
      <c r="Q1640" t="str">
        <f>VLOOKUP(E1640,Sales_Reps!$A:$E,3,FALSE)</f>
        <v>North</v>
      </c>
      <c r="R1640" t="str">
        <f>VLOOKUP(E1640,Sales_Reps!$A:$E,2,FALSE)</f>
        <v>Neha Desai</v>
      </c>
      <c r="S1640">
        <f t="shared" si="25"/>
        <v>0.52669172932330832</v>
      </c>
    </row>
    <row r="1641" spans="1:19" x14ac:dyDescent="0.3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  <c r="L1641" t="str">
        <f>VLOOKUP(D1641,Products!$A:$F,3,FALSE)</f>
        <v>Beauty</v>
      </c>
      <c r="M1641" t="b">
        <f>VLOOKUP(D1641,Products!$A:$F,6,FALSE)</f>
        <v>1</v>
      </c>
      <c r="N1641">
        <f>VLOOKUP(D1641,Products!$A:$F,4,FALSE)</f>
        <v>2768</v>
      </c>
      <c r="O1641" t="str">
        <f>VLOOKUP(C1641,Customers!$A:$F,5,FALSE)</f>
        <v>SMB</v>
      </c>
      <c r="P1641">
        <f>VLOOKUP(C1641,Customers!$A:$F,3,FALSE)</f>
        <v>48</v>
      </c>
      <c r="Q1641" t="str">
        <f>VLOOKUP(E1641,Sales_Reps!$A:$E,3,FALSE)</f>
        <v>South</v>
      </c>
      <c r="R1641" t="str">
        <f>VLOOKUP(E1641,Sales_Reps!$A:$E,2,FALSE)</f>
        <v>Sanjay Kapoor</v>
      </c>
      <c r="S1641">
        <f t="shared" si="25"/>
        <v>0.43278688524590164</v>
      </c>
    </row>
    <row r="1642" spans="1:19" x14ac:dyDescent="0.3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  <c r="L1642" t="str">
        <f>VLOOKUP(D1642,Products!$A:$F,3,FALSE)</f>
        <v>Apparel</v>
      </c>
      <c r="M1642" t="b">
        <f>VLOOKUP(D1642,Products!$A:$F,6,FALSE)</f>
        <v>1</v>
      </c>
      <c r="N1642">
        <f>VLOOKUP(D1642,Products!$A:$F,4,FALSE)</f>
        <v>1748</v>
      </c>
      <c r="O1642" t="str">
        <f>VLOOKUP(C1642,Customers!$A:$F,5,FALSE)</f>
        <v>Retail</v>
      </c>
      <c r="P1642">
        <f>VLOOKUP(C1642,Customers!$A:$F,3,FALSE)</f>
        <v>36</v>
      </c>
      <c r="Q1642" t="str">
        <f>VLOOKUP(E1642,Sales_Reps!$A:$E,3,FALSE)</f>
        <v>South</v>
      </c>
      <c r="R1642" t="str">
        <f>VLOOKUP(E1642,Sales_Reps!$A:$E,2,FALSE)</f>
        <v>Anil Verma</v>
      </c>
      <c r="S1642">
        <f t="shared" si="25"/>
        <v>0.49333333333333335</v>
      </c>
    </row>
    <row r="1643" spans="1:19" x14ac:dyDescent="0.3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  <c r="L1643" t="str">
        <f>VLOOKUP(D1643,Products!$A:$F,3,FALSE)</f>
        <v>Beauty</v>
      </c>
      <c r="M1643" t="b">
        <f>VLOOKUP(D1643,Products!$A:$F,6,FALSE)</f>
        <v>1</v>
      </c>
      <c r="N1643">
        <f>VLOOKUP(D1643,Products!$A:$F,4,FALSE)</f>
        <v>1626</v>
      </c>
      <c r="O1643" t="str">
        <f>VLOOKUP(C1643,Customers!$A:$F,5,FALSE)</f>
        <v>SMB</v>
      </c>
      <c r="P1643">
        <f>VLOOKUP(C1643,Customers!$A:$F,3,FALSE)</f>
        <v>54</v>
      </c>
      <c r="Q1643" t="str">
        <f>VLOOKUP(E1643,Sales_Reps!$A:$E,3,FALSE)</f>
        <v>East</v>
      </c>
      <c r="R1643" t="str">
        <f>VLOOKUP(E1643,Sales_Reps!$A:$E,2,FALSE)</f>
        <v>Vinod Kumar</v>
      </c>
      <c r="S1643">
        <f t="shared" si="25"/>
        <v>0.46158940397350995</v>
      </c>
    </row>
    <row r="1644" spans="1:19" x14ac:dyDescent="0.3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  <c r="L1644" t="str">
        <f>VLOOKUP(D1644,Products!$A:$F,3,FALSE)</f>
        <v>Sports</v>
      </c>
      <c r="M1644" t="b">
        <f>VLOOKUP(D1644,Products!$A:$F,6,FALSE)</f>
        <v>1</v>
      </c>
      <c r="N1644">
        <f>VLOOKUP(D1644,Products!$A:$F,4,FALSE)</f>
        <v>2827</v>
      </c>
      <c r="O1644" t="str">
        <f>VLOOKUP(C1644,Customers!$A:$F,5,FALSE)</f>
        <v>Retail</v>
      </c>
      <c r="P1644">
        <f>VLOOKUP(C1644,Customers!$A:$F,3,FALSE)</f>
        <v>47</v>
      </c>
      <c r="Q1644" t="str">
        <f>VLOOKUP(E1644,Sales_Reps!$A:$E,3,FALSE)</f>
        <v>East</v>
      </c>
      <c r="R1644" t="str">
        <f>VLOOKUP(E1644,Sales_Reps!$A:$E,2,FALSE)</f>
        <v>Gaurav Desai</v>
      </c>
      <c r="S1644">
        <f t="shared" si="25"/>
        <v>0.5926512968299712</v>
      </c>
    </row>
    <row r="1645" spans="1:19" x14ac:dyDescent="0.3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  <c r="L1645" t="str">
        <f>VLOOKUP(D1645,Products!$A:$F,3,FALSE)</f>
        <v>Grocery</v>
      </c>
      <c r="M1645" t="b">
        <f>VLOOKUP(D1645,Products!$A:$F,6,FALSE)</f>
        <v>1</v>
      </c>
      <c r="N1645">
        <f>VLOOKUP(D1645,Products!$A:$F,4,FALSE)</f>
        <v>1435</v>
      </c>
      <c r="O1645" t="str">
        <f>VLOOKUP(C1645,Customers!$A:$F,5,FALSE)</f>
        <v>SMB</v>
      </c>
      <c r="P1645">
        <f>VLOOKUP(C1645,Customers!$A:$F,3,FALSE)</f>
        <v>64</v>
      </c>
      <c r="Q1645" t="str">
        <f>VLOOKUP(E1645,Sales_Reps!$A:$E,3,FALSE)</f>
        <v>East</v>
      </c>
      <c r="R1645" t="str">
        <f>VLOOKUP(E1645,Sales_Reps!$A:$E,2,FALSE)</f>
        <v>Vinod Kumar</v>
      </c>
      <c r="S1645">
        <f t="shared" si="25"/>
        <v>0.48007246376811596</v>
      </c>
    </row>
    <row r="1646" spans="1:19" x14ac:dyDescent="0.3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  <c r="L1646" t="str">
        <f>VLOOKUP(D1646,Products!$A:$F,3,FALSE)</f>
        <v>Beauty</v>
      </c>
      <c r="M1646" t="b">
        <f>VLOOKUP(D1646,Products!$A:$F,6,FALSE)</f>
        <v>1</v>
      </c>
      <c r="N1646">
        <f>VLOOKUP(D1646,Products!$A:$F,4,FALSE)</f>
        <v>675</v>
      </c>
      <c r="O1646" t="str">
        <f>VLOOKUP(C1646,Customers!$A:$F,5,FALSE)</f>
        <v>Corporate</v>
      </c>
      <c r="P1646">
        <f>VLOOKUP(C1646,Customers!$A:$F,3,FALSE)</f>
        <v>48</v>
      </c>
      <c r="Q1646" t="str">
        <f>VLOOKUP(E1646,Sales_Reps!$A:$E,3,FALSE)</f>
        <v>East</v>
      </c>
      <c r="R1646" t="str">
        <f>VLOOKUP(E1646,Sales_Reps!$A:$E,2,FALSE)</f>
        <v>Meera Iyer</v>
      </c>
      <c r="S1646">
        <f t="shared" si="25"/>
        <v>0.296875</v>
      </c>
    </row>
    <row r="1647" spans="1:19" x14ac:dyDescent="0.3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  <c r="L1647" t="str">
        <f>VLOOKUP(D1647,Products!$A:$F,3,FALSE)</f>
        <v>Beauty</v>
      </c>
      <c r="M1647" t="b">
        <f>VLOOKUP(D1647,Products!$A:$F,6,FALSE)</f>
        <v>1</v>
      </c>
      <c r="N1647">
        <f>VLOOKUP(D1647,Products!$A:$F,4,FALSE)</f>
        <v>675</v>
      </c>
      <c r="O1647" t="str">
        <f>VLOOKUP(C1647,Customers!$A:$F,5,FALSE)</f>
        <v>Retail</v>
      </c>
      <c r="P1647">
        <f>VLOOKUP(C1647,Customers!$A:$F,3,FALSE)</f>
        <v>52</v>
      </c>
      <c r="Q1647" t="str">
        <f>VLOOKUP(E1647,Sales_Reps!$A:$E,3,FALSE)</f>
        <v>South</v>
      </c>
      <c r="R1647" t="str">
        <f>VLOOKUP(E1647,Sales_Reps!$A:$E,2,FALSE)</f>
        <v>Pooja Nair</v>
      </c>
      <c r="S1647">
        <f t="shared" si="25"/>
        <v>0.296875</v>
      </c>
    </row>
    <row r="1648" spans="1:19" x14ac:dyDescent="0.3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  <c r="L1648" t="str">
        <f>VLOOKUP(D1648,Products!$A:$F,3,FALSE)</f>
        <v>Grocery</v>
      </c>
      <c r="M1648" t="b">
        <f>VLOOKUP(D1648,Products!$A:$F,6,FALSE)</f>
        <v>1</v>
      </c>
      <c r="N1648">
        <f>VLOOKUP(D1648,Products!$A:$F,4,FALSE)</f>
        <v>434</v>
      </c>
      <c r="O1648" t="str">
        <f>VLOOKUP(C1648,Customers!$A:$F,5,FALSE)</f>
        <v>Retail</v>
      </c>
      <c r="P1648">
        <f>VLOOKUP(C1648,Customers!$A:$F,3,FALSE)</f>
        <v>55</v>
      </c>
      <c r="Q1648" t="str">
        <f>VLOOKUP(E1648,Sales_Reps!$A:$E,3,FALSE)</f>
        <v>East</v>
      </c>
      <c r="R1648" t="str">
        <f>VLOOKUP(E1648,Sales_Reps!$A:$E,2,FALSE)</f>
        <v>Gaurav Desai</v>
      </c>
      <c r="S1648">
        <f t="shared" si="25"/>
        <v>0.5525773195876289</v>
      </c>
    </row>
    <row r="1649" spans="1:19" x14ac:dyDescent="0.3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  <c r="L1649" t="str">
        <f>VLOOKUP(D1649,Products!$A:$F,3,FALSE)</f>
        <v>Beauty</v>
      </c>
      <c r="M1649" t="b">
        <f>VLOOKUP(D1649,Products!$A:$F,6,FALSE)</f>
        <v>1</v>
      </c>
      <c r="N1649">
        <f>VLOOKUP(D1649,Products!$A:$F,4,FALSE)</f>
        <v>2617</v>
      </c>
      <c r="O1649" t="str">
        <f>VLOOKUP(C1649,Customers!$A:$F,5,FALSE)</f>
        <v>Retail</v>
      </c>
      <c r="P1649">
        <f>VLOOKUP(C1649,Customers!$A:$F,3,FALSE)</f>
        <v>57</v>
      </c>
      <c r="Q1649" t="str">
        <f>VLOOKUP(E1649,Sales_Reps!$A:$E,3,FALSE)</f>
        <v>East</v>
      </c>
      <c r="R1649" t="str">
        <f>VLOOKUP(E1649,Sales_Reps!$A:$E,2,FALSE)</f>
        <v>Vinod Kumar</v>
      </c>
      <c r="S1649">
        <f t="shared" si="25"/>
        <v>0.56957236842105263</v>
      </c>
    </row>
    <row r="1650" spans="1:19" x14ac:dyDescent="0.3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  <c r="L1650" t="str">
        <f>VLOOKUP(D1650,Products!$A:$F,3,FALSE)</f>
        <v>Grocery</v>
      </c>
      <c r="M1650" t="b">
        <f>VLOOKUP(D1650,Products!$A:$F,6,FALSE)</f>
        <v>0</v>
      </c>
      <c r="N1650">
        <f>VLOOKUP(D1650,Products!$A:$F,4,FALSE)</f>
        <v>2214</v>
      </c>
      <c r="O1650" t="str">
        <f>VLOOKUP(C1650,Customers!$A:$F,5,FALSE)</f>
        <v>Retail</v>
      </c>
      <c r="P1650">
        <f>VLOOKUP(C1650,Customers!$A:$F,3,FALSE)</f>
        <v>47</v>
      </c>
      <c r="Q1650" t="str">
        <f>VLOOKUP(E1650,Sales_Reps!$A:$E,3,FALSE)</f>
        <v>South</v>
      </c>
      <c r="R1650" t="str">
        <f>VLOOKUP(E1650,Sales_Reps!$A:$E,2,FALSE)</f>
        <v>Sanjay Kapoor</v>
      </c>
      <c r="S1650">
        <f t="shared" si="25"/>
        <v>0.39508196721311473</v>
      </c>
    </row>
    <row r="1651" spans="1:19" x14ac:dyDescent="0.3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  <c r="L1651" t="str">
        <f>VLOOKUP(D1651,Products!$A:$F,3,FALSE)</f>
        <v>Home</v>
      </c>
      <c r="M1651" t="b">
        <f>VLOOKUP(D1651,Products!$A:$F,6,FALSE)</f>
        <v>1</v>
      </c>
      <c r="N1651">
        <f>VLOOKUP(D1651,Products!$A:$F,4,FALSE)</f>
        <v>2135</v>
      </c>
      <c r="O1651" t="str">
        <f>VLOOKUP(C1651,Customers!$A:$F,5,FALSE)</f>
        <v>SMB</v>
      </c>
      <c r="P1651">
        <f>VLOOKUP(C1651,Customers!$A:$F,3,FALSE)</f>
        <v>57</v>
      </c>
      <c r="Q1651" t="str">
        <f>VLOOKUP(E1651,Sales_Reps!$A:$E,3,FALSE)</f>
        <v>North</v>
      </c>
      <c r="R1651" t="str">
        <f>VLOOKUP(E1651,Sales_Reps!$A:$E,2,FALSE)</f>
        <v>Kavita Patel</v>
      </c>
      <c r="S1651">
        <f t="shared" si="25"/>
        <v>0.42761394101876676</v>
      </c>
    </row>
    <row r="1652" spans="1:19" x14ac:dyDescent="0.3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  <c r="L1652" t="str">
        <f>VLOOKUP(D1652,Products!$A:$F,3,FALSE)</f>
        <v>Electronics</v>
      </c>
      <c r="M1652" t="b">
        <f>VLOOKUP(D1652,Products!$A:$F,6,FALSE)</f>
        <v>1</v>
      </c>
      <c r="N1652">
        <f>VLOOKUP(D1652,Products!$A:$F,4,FALSE)</f>
        <v>1559</v>
      </c>
      <c r="O1652" t="str">
        <f>VLOOKUP(C1652,Customers!$A:$F,5,FALSE)</f>
        <v>SMB</v>
      </c>
      <c r="P1652">
        <f>VLOOKUP(C1652,Customers!$A:$F,3,FALSE)</f>
        <v>55</v>
      </c>
      <c r="Q1652" t="str">
        <f>VLOOKUP(E1652,Sales_Reps!$A:$E,3,FALSE)</f>
        <v>West</v>
      </c>
      <c r="R1652" t="str">
        <f>VLOOKUP(E1652,Sales_Reps!$A:$E,2,FALSE)</f>
        <v>Arun Iyer</v>
      </c>
      <c r="S1652">
        <f t="shared" si="25"/>
        <v>0.59715762273901807</v>
      </c>
    </row>
    <row r="1653" spans="1:19" x14ac:dyDescent="0.3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  <c r="L1653" t="str">
        <f>VLOOKUP(D1653,Products!$A:$F,3,FALSE)</f>
        <v>Grocery</v>
      </c>
      <c r="M1653" t="b">
        <f>VLOOKUP(D1653,Products!$A:$F,6,FALSE)</f>
        <v>1</v>
      </c>
      <c r="N1653">
        <f>VLOOKUP(D1653,Products!$A:$F,4,FALSE)</f>
        <v>1435</v>
      </c>
      <c r="O1653" t="str">
        <f>VLOOKUP(C1653,Customers!$A:$F,5,FALSE)</f>
        <v>Corporate</v>
      </c>
      <c r="P1653">
        <f>VLOOKUP(C1653,Customers!$A:$F,3,FALSE)</f>
        <v>42</v>
      </c>
      <c r="Q1653" t="str">
        <f>VLOOKUP(E1653,Sales_Reps!$A:$E,3,FALSE)</f>
        <v>South</v>
      </c>
      <c r="R1653" t="str">
        <f>VLOOKUP(E1653,Sales_Reps!$A:$E,2,FALSE)</f>
        <v>Anjali Chopra</v>
      </c>
      <c r="S1653">
        <f t="shared" si="25"/>
        <v>0.48007246376811596</v>
      </c>
    </row>
    <row r="1654" spans="1:19" x14ac:dyDescent="0.3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  <c r="L1654" t="str">
        <f>VLOOKUP(D1654,Products!$A:$F,3,FALSE)</f>
        <v>Grocery</v>
      </c>
      <c r="M1654" t="b">
        <f>VLOOKUP(D1654,Products!$A:$F,6,FALSE)</f>
        <v>1</v>
      </c>
      <c r="N1654">
        <f>VLOOKUP(D1654,Products!$A:$F,4,FALSE)</f>
        <v>1182</v>
      </c>
      <c r="O1654" t="str">
        <f>VLOOKUP(C1654,Customers!$A:$F,5,FALSE)</f>
        <v>Retail</v>
      </c>
      <c r="P1654">
        <f>VLOOKUP(C1654,Customers!$A:$F,3,FALSE)</f>
        <v>26</v>
      </c>
      <c r="Q1654" t="str">
        <f>VLOOKUP(E1654,Sales_Reps!$A:$E,3,FALSE)</f>
        <v>East</v>
      </c>
      <c r="R1654" t="str">
        <f>VLOOKUP(E1654,Sales_Reps!$A:$E,2,FALSE)</f>
        <v>Meera Iyer</v>
      </c>
      <c r="S1654">
        <f t="shared" si="25"/>
        <v>0.50336134453781511</v>
      </c>
    </row>
    <row r="1655" spans="1:19" x14ac:dyDescent="0.3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  <c r="L1655" t="str">
        <f>VLOOKUP(D1655,Products!$A:$F,3,FALSE)</f>
        <v>Beauty</v>
      </c>
      <c r="M1655" t="b">
        <f>VLOOKUP(D1655,Products!$A:$F,6,FALSE)</f>
        <v>1</v>
      </c>
      <c r="N1655">
        <f>VLOOKUP(D1655,Products!$A:$F,4,FALSE)</f>
        <v>2617</v>
      </c>
      <c r="O1655" t="e">
        <f>VLOOKUP(C1655,Customers!$A:$F,5,FALSE)</f>
        <v>#N/A</v>
      </c>
      <c r="P1655" t="e">
        <f>VLOOKUP(C1655,Customers!$A:$F,3,FALSE)</f>
        <v>#N/A</v>
      </c>
      <c r="Q1655" t="str">
        <f>VLOOKUP(E1655,Sales_Reps!$A:$E,3,FALSE)</f>
        <v>South</v>
      </c>
      <c r="R1655" t="str">
        <f>VLOOKUP(E1655,Sales_Reps!$A:$E,2,FALSE)</f>
        <v>Deepak Shah</v>
      </c>
      <c r="S1655">
        <f t="shared" si="25"/>
        <v>0.56957236842105263</v>
      </c>
    </row>
    <row r="1656" spans="1:19" x14ac:dyDescent="0.3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  <c r="L1656" t="str">
        <f>VLOOKUP(D1656,Products!$A:$F,3,FALSE)</f>
        <v>Apparel</v>
      </c>
      <c r="M1656" t="b">
        <f>VLOOKUP(D1656,Products!$A:$F,6,FALSE)</f>
        <v>1</v>
      </c>
      <c r="N1656">
        <f>VLOOKUP(D1656,Products!$A:$F,4,FALSE)</f>
        <v>396</v>
      </c>
      <c r="O1656" t="str">
        <f>VLOOKUP(C1656,Customers!$A:$F,5,FALSE)</f>
        <v>Retail</v>
      </c>
      <c r="P1656">
        <f>VLOOKUP(C1656,Customers!$A:$F,3,FALSE)</f>
        <v>38</v>
      </c>
      <c r="Q1656" t="str">
        <f>VLOOKUP(E1656,Sales_Reps!$A:$E,3,FALSE)</f>
        <v>South</v>
      </c>
      <c r="R1656" t="str">
        <f>VLOOKUP(E1656,Sales_Reps!$A:$E,2,FALSE)</f>
        <v>Anjali Chopra</v>
      </c>
      <c r="S1656">
        <f t="shared" si="25"/>
        <v>0.36129032258064514</v>
      </c>
    </row>
    <row r="1657" spans="1:19" x14ac:dyDescent="0.3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  <c r="L1657" t="str">
        <f>VLOOKUP(D1657,Products!$A:$F,3,FALSE)</f>
        <v>Electronics</v>
      </c>
      <c r="M1657" t="b">
        <f>VLOOKUP(D1657,Products!$A:$F,6,FALSE)</f>
        <v>1</v>
      </c>
      <c r="N1657">
        <f>VLOOKUP(D1657,Products!$A:$F,4,FALSE)</f>
        <v>1559</v>
      </c>
      <c r="O1657" t="str">
        <f>VLOOKUP(C1657,Customers!$A:$F,5,FALSE)</f>
        <v>Corporate</v>
      </c>
      <c r="P1657">
        <f>VLOOKUP(C1657,Customers!$A:$F,3,FALSE)</f>
        <v>35</v>
      </c>
      <c r="Q1657" t="str">
        <f>VLOOKUP(E1657,Sales_Reps!$A:$E,3,FALSE)</f>
        <v>South</v>
      </c>
      <c r="R1657" t="str">
        <f>VLOOKUP(E1657,Sales_Reps!$A:$E,2,FALSE)</f>
        <v>Pooja Nair</v>
      </c>
      <c r="S1657">
        <f t="shared" si="25"/>
        <v>0.59715762273901807</v>
      </c>
    </row>
    <row r="1658" spans="1:19" x14ac:dyDescent="0.3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  <c r="L1658" t="str">
        <f>VLOOKUP(D1658,Products!$A:$F,3,FALSE)</f>
        <v>Electronics</v>
      </c>
      <c r="M1658" t="b">
        <f>VLOOKUP(D1658,Products!$A:$F,6,FALSE)</f>
        <v>1</v>
      </c>
      <c r="N1658">
        <f>VLOOKUP(D1658,Products!$A:$F,4,FALSE)</f>
        <v>1665</v>
      </c>
      <c r="O1658" t="str">
        <f>VLOOKUP(C1658,Customers!$A:$F,5,FALSE)</f>
        <v>SMB</v>
      </c>
      <c r="P1658">
        <f>VLOOKUP(C1658,Customers!$A:$F,3,FALSE)</f>
        <v>44</v>
      </c>
      <c r="Q1658" t="str">
        <f>VLOOKUP(E1658,Sales_Reps!$A:$E,3,FALSE)</f>
        <v>East</v>
      </c>
      <c r="R1658" t="str">
        <f>VLOOKUP(E1658,Sales_Reps!$A:$E,2,FALSE)</f>
        <v>Meera Iyer</v>
      </c>
      <c r="S1658">
        <f t="shared" si="25"/>
        <v>0.53361344537815125</v>
      </c>
    </row>
    <row r="1659" spans="1:19" x14ac:dyDescent="0.3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  <c r="L1659" t="str">
        <f>VLOOKUP(D1659,Products!$A:$F,3,FALSE)</f>
        <v>Grocery</v>
      </c>
      <c r="M1659" t="b">
        <f>VLOOKUP(D1659,Products!$A:$F,6,FALSE)</f>
        <v>1</v>
      </c>
      <c r="N1659">
        <f>VLOOKUP(D1659,Products!$A:$F,4,FALSE)</f>
        <v>2027</v>
      </c>
      <c r="O1659" t="str">
        <f>VLOOKUP(C1659,Customers!$A:$F,5,FALSE)</f>
        <v>Retail</v>
      </c>
      <c r="P1659">
        <f>VLOOKUP(C1659,Customers!$A:$F,3,FALSE)</f>
        <v>34</v>
      </c>
      <c r="Q1659" t="str">
        <f>VLOOKUP(E1659,Sales_Reps!$A:$E,3,FALSE)</f>
        <v>South</v>
      </c>
      <c r="R1659" t="str">
        <f>VLOOKUP(E1659,Sales_Reps!$A:$E,2,FALSE)</f>
        <v>Divya Rao</v>
      </c>
      <c r="S1659">
        <f t="shared" si="25"/>
        <v>0.50196560196560192</v>
      </c>
    </row>
    <row r="1660" spans="1:19" x14ac:dyDescent="0.3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  <c r="L1660" t="str">
        <f>VLOOKUP(D1660,Products!$A:$F,3,FALSE)</f>
        <v>Apparel</v>
      </c>
      <c r="M1660" t="b">
        <f>VLOOKUP(D1660,Products!$A:$F,6,FALSE)</f>
        <v>1</v>
      </c>
      <c r="N1660">
        <f>VLOOKUP(D1660,Products!$A:$F,4,FALSE)</f>
        <v>391</v>
      </c>
      <c r="O1660" t="str">
        <f>VLOOKUP(C1660,Customers!$A:$F,5,FALSE)</f>
        <v>SMB</v>
      </c>
      <c r="P1660">
        <f>VLOOKUP(C1660,Customers!$A:$F,3,FALSE)</f>
        <v>26</v>
      </c>
      <c r="Q1660" t="str">
        <f>VLOOKUP(E1660,Sales_Reps!$A:$E,3,FALSE)</f>
        <v>East</v>
      </c>
      <c r="R1660" t="str">
        <f>VLOOKUP(E1660,Sales_Reps!$A:$E,2,FALSE)</f>
        <v>Naveen Singh</v>
      </c>
      <c r="S1660">
        <f t="shared" si="25"/>
        <v>0.52317073170731709</v>
      </c>
    </row>
    <row r="1661" spans="1:19" x14ac:dyDescent="0.3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  <c r="L1661" t="str">
        <f>VLOOKUP(D1661,Products!$A:$F,3,FALSE)</f>
        <v>Beauty</v>
      </c>
      <c r="M1661" t="b">
        <f>VLOOKUP(D1661,Products!$A:$F,6,FALSE)</f>
        <v>1</v>
      </c>
      <c r="N1661">
        <f>VLOOKUP(D1661,Products!$A:$F,4,FALSE)</f>
        <v>1626</v>
      </c>
      <c r="O1661" t="str">
        <f>VLOOKUP(C1661,Customers!$A:$F,5,FALSE)</f>
        <v>Retail</v>
      </c>
      <c r="P1661">
        <f>VLOOKUP(C1661,Customers!$A:$F,3,FALSE)</f>
        <v>29</v>
      </c>
      <c r="Q1661" t="str">
        <f>VLOOKUP(E1661,Sales_Reps!$A:$E,3,FALSE)</f>
        <v>West</v>
      </c>
      <c r="R1661" t="str">
        <f>VLOOKUP(E1661,Sales_Reps!$A:$E,2,FALSE)</f>
        <v>Arun Iyer</v>
      </c>
      <c r="S1661">
        <f t="shared" si="25"/>
        <v>0.46158940397350995</v>
      </c>
    </row>
    <row r="1662" spans="1:19" x14ac:dyDescent="0.3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  <c r="L1662" t="str">
        <f>VLOOKUP(D1662,Products!$A:$F,3,FALSE)</f>
        <v>Apparel</v>
      </c>
      <c r="M1662" t="b">
        <f>VLOOKUP(D1662,Products!$A:$F,6,FALSE)</f>
        <v>1</v>
      </c>
      <c r="N1662">
        <f>VLOOKUP(D1662,Products!$A:$F,4,FALSE)</f>
        <v>2629</v>
      </c>
      <c r="O1662" t="str">
        <f>VLOOKUP(C1662,Customers!$A:$F,5,FALSE)</f>
        <v>Corporate</v>
      </c>
      <c r="P1662">
        <f>VLOOKUP(C1662,Customers!$A:$F,3,FALSE)</f>
        <v>22</v>
      </c>
      <c r="Q1662" t="str">
        <f>VLOOKUP(E1662,Sales_Reps!$A:$E,3,FALSE)</f>
        <v>East</v>
      </c>
      <c r="R1662" t="str">
        <f>VLOOKUP(E1662,Sales_Reps!$A:$E,2,FALSE)</f>
        <v>Nisha Menon</v>
      </c>
      <c r="S1662">
        <f t="shared" si="25"/>
        <v>0.26151685393258428</v>
      </c>
    </row>
    <row r="1663" spans="1:19" x14ac:dyDescent="0.3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  <c r="L1663" t="str">
        <f>VLOOKUP(D1663,Products!$A:$F,3,FALSE)</f>
        <v>Beauty</v>
      </c>
      <c r="M1663" t="b">
        <f>VLOOKUP(D1663,Products!$A:$F,6,FALSE)</f>
        <v>1</v>
      </c>
      <c r="N1663">
        <f>VLOOKUP(D1663,Products!$A:$F,4,FALSE)</f>
        <v>1728</v>
      </c>
      <c r="O1663" t="str">
        <f>VLOOKUP(C1663,Customers!$A:$F,5,FALSE)</f>
        <v>Corporate</v>
      </c>
      <c r="P1663">
        <f>VLOOKUP(C1663,Customers!$A:$F,3,FALSE)</f>
        <v>29</v>
      </c>
      <c r="Q1663" t="str">
        <f>VLOOKUP(E1663,Sales_Reps!$A:$E,3,FALSE)</f>
        <v>North</v>
      </c>
      <c r="R1663" t="str">
        <f>VLOOKUP(E1663,Sales_Reps!$A:$E,2,FALSE)</f>
        <v>Rajesh Malhotra</v>
      </c>
      <c r="S1663">
        <f t="shared" si="25"/>
        <v>0.48417910447761192</v>
      </c>
    </row>
    <row r="1664" spans="1:19" x14ac:dyDescent="0.3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  <c r="L1664" t="str">
        <f>VLOOKUP(D1664,Products!$A:$F,3,FALSE)</f>
        <v>Beauty</v>
      </c>
      <c r="M1664" t="b">
        <f>VLOOKUP(D1664,Products!$A:$F,6,FALSE)</f>
        <v>1</v>
      </c>
      <c r="N1664">
        <f>VLOOKUP(D1664,Products!$A:$F,4,FALSE)</f>
        <v>1219</v>
      </c>
      <c r="O1664" t="str">
        <f>VLOOKUP(C1664,Customers!$A:$F,5,FALSE)</f>
        <v>Retail</v>
      </c>
      <c r="P1664">
        <f>VLOOKUP(C1664,Customers!$A:$F,3,FALSE)</f>
        <v>48</v>
      </c>
      <c r="Q1664" t="str">
        <f>VLOOKUP(E1664,Sales_Reps!$A:$E,3,FALSE)</f>
        <v>West</v>
      </c>
      <c r="R1664" t="str">
        <f>VLOOKUP(E1664,Sales_Reps!$A:$E,2,FALSE)</f>
        <v>Ashok Reddy</v>
      </c>
      <c r="S1664">
        <f t="shared" si="25"/>
        <v>0.46768558951965067</v>
      </c>
    </row>
    <row r="1665" spans="1:19" x14ac:dyDescent="0.3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  <c r="L1665" t="str">
        <f>VLOOKUP(D1665,Products!$A:$F,3,FALSE)</f>
        <v>Grocery</v>
      </c>
      <c r="M1665" t="b">
        <f>VLOOKUP(D1665,Products!$A:$F,6,FALSE)</f>
        <v>0</v>
      </c>
      <c r="N1665">
        <f>VLOOKUP(D1665,Products!$A:$F,4,FALSE)</f>
        <v>2214</v>
      </c>
      <c r="O1665" t="str">
        <f>VLOOKUP(C1665,Customers!$A:$F,5,FALSE)</f>
        <v>Retail</v>
      </c>
      <c r="P1665">
        <f>VLOOKUP(C1665,Customers!$A:$F,3,FALSE)</f>
        <v>61</v>
      </c>
      <c r="Q1665" t="str">
        <f>VLOOKUP(E1665,Sales_Reps!$A:$E,3,FALSE)</f>
        <v>North</v>
      </c>
      <c r="R1665" t="str">
        <f>VLOOKUP(E1665,Sales_Reps!$A:$E,2,FALSE)</f>
        <v>Amit Singh</v>
      </c>
      <c r="S1665">
        <f t="shared" si="25"/>
        <v>0.39508196721311473</v>
      </c>
    </row>
    <row r="1666" spans="1:19" x14ac:dyDescent="0.3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  <c r="L1666" t="str">
        <f>VLOOKUP(D1666,Products!$A:$F,3,FALSE)</f>
        <v>Electronics</v>
      </c>
      <c r="M1666" t="b">
        <f>VLOOKUP(D1666,Products!$A:$F,6,FALSE)</f>
        <v>1</v>
      </c>
      <c r="N1666">
        <f>VLOOKUP(D1666,Products!$A:$F,4,FALSE)</f>
        <v>1149</v>
      </c>
      <c r="O1666" t="str">
        <f>VLOOKUP(C1666,Customers!$A:$F,5,FALSE)</f>
        <v>Corporate</v>
      </c>
      <c r="P1666">
        <f>VLOOKUP(C1666,Customers!$A:$F,3,FALSE)</f>
        <v>55</v>
      </c>
      <c r="Q1666" t="str">
        <f>VLOOKUP(E1666,Sales_Reps!$A:$E,3,FALSE)</f>
        <v>South</v>
      </c>
      <c r="R1666" t="str">
        <f>VLOOKUP(E1666,Sales_Reps!$A:$E,2,FALSE)</f>
        <v>Sanjay Kapoor</v>
      </c>
      <c r="S1666">
        <f t="shared" si="25"/>
        <v>0.56477272727272732</v>
      </c>
    </row>
    <row r="1667" spans="1:19" x14ac:dyDescent="0.3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  <c r="L1667" t="str">
        <f>VLOOKUP(D1667,Products!$A:$F,3,FALSE)</f>
        <v>Home</v>
      </c>
      <c r="M1667" t="b">
        <f>VLOOKUP(D1667,Products!$A:$F,6,FALSE)</f>
        <v>1</v>
      </c>
      <c r="N1667">
        <f>VLOOKUP(D1667,Products!$A:$F,4,FALSE)</f>
        <v>288</v>
      </c>
      <c r="O1667" t="str">
        <f>VLOOKUP(C1667,Customers!$A:$F,5,FALSE)</f>
        <v>Retail</v>
      </c>
      <c r="P1667">
        <f>VLOOKUP(C1667,Customers!$A:$F,3,FALSE)</f>
        <v>63</v>
      </c>
      <c r="Q1667" t="str">
        <f>VLOOKUP(E1667,Sales_Reps!$A:$E,3,FALSE)</f>
        <v>North</v>
      </c>
      <c r="R1667" t="str">
        <f>VLOOKUP(E1667,Sales_Reps!$A:$E,2,FALSE)</f>
        <v>Neha Desai</v>
      </c>
      <c r="S1667">
        <f t="shared" ref="S1667:S1730" si="26">IFERROR((G1667-N1667)/G1667,"")</f>
        <v>0.22162162162162163</v>
      </c>
    </row>
    <row r="1668" spans="1:19" x14ac:dyDescent="0.3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  <c r="L1668" t="str">
        <f>VLOOKUP(D1668,Products!$A:$F,3,FALSE)</f>
        <v>Grocery</v>
      </c>
      <c r="M1668" t="b">
        <f>VLOOKUP(D1668,Products!$A:$F,6,FALSE)</f>
        <v>1</v>
      </c>
      <c r="N1668">
        <f>VLOOKUP(D1668,Products!$A:$F,4,FALSE)</f>
        <v>1203</v>
      </c>
      <c r="O1668" t="str">
        <f>VLOOKUP(C1668,Customers!$A:$F,5,FALSE)</f>
        <v>Retail</v>
      </c>
      <c r="P1668">
        <f>VLOOKUP(C1668,Customers!$A:$F,3,FALSE)</f>
        <v>49</v>
      </c>
      <c r="Q1668" t="str">
        <f>VLOOKUP(E1668,Sales_Reps!$A:$E,3,FALSE)</f>
        <v>North</v>
      </c>
      <c r="R1668" t="str">
        <f>VLOOKUP(E1668,Sales_Reps!$A:$E,2,FALSE)</f>
        <v>Suresh Menon</v>
      </c>
      <c r="S1668">
        <f t="shared" si="26"/>
        <v>0.47004405286343615</v>
      </c>
    </row>
    <row r="1669" spans="1:19" x14ac:dyDescent="0.3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  <c r="L1669" t="str">
        <f>VLOOKUP(D1669,Products!$A:$F,3,FALSE)</f>
        <v>Home</v>
      </c>
      <c r="M1669" t="b">
        <f>VLOOKUP(D1669,Products!$A:$F,6,FALSE)</f>
        <v>1</v>
      </c>
      <c r="N1669">
        <f>VLOOKUP(D1669,Products!$A:$F,4,FALSE)</f>
        <v>329</v>
      </c>
      <c r="O1669" t="str">
        <f>VLOOKUP(C1669,Customers!$A:$F,5,FALSE)</f>
        <v>Retail</v>
      </c>
      <c r="P1669">
        <f>VLOOKUP(C1669,Customers!$A:$F,3,FALSE)</f>
        <v>37</v>
      </c>
      <c r="Q1669" t="str">
        <f>VLOOKUP(E1669,Sales_Reps!$A:$E,3,FALSE)</f>
        <v>South</v>
      </c>
      <c r="R1669" t="str">
        <f>VLOOKUP(E1669,Sales_Reps!$A:$E,2,FALSE)</f>
        <v>Anil Verma</v>
      </c>
      <c r="S1669">
        <f t="shared" si="26"/>
        <v>0.50151515151515147</v>
      </c>
    </row>
    <row r="1670" spans="1:19" x14ac:dyDescent="0.3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  <c r="L1670" t="str">
        <f>VLOOKUP(D1670,Products!$A:$F,3,FALSE)</f>
        <v>Sports</v>
      </c>
      <c r="M1670" t="b">
        <f>VLOOKUP(D1670,Products!$A:$F,6,FALSE)</f>
        <v>1</v>
      </c>
      <c r="N1670">
        <f>VLOOKUP(D1670,Products!$A:$F,4,FALSE)</f>
        <v>705</v>
      </c>
      <c r="O1670" t="e">
        <f>VLOOKUP(C1670,Customers!$A:$F,5,FALSE)</f>
        <v>#N/A</v>
      </c>
      <c r="P1670" t="e">
        <f>VLOOKUP(C1670,Customers!$A:$F,3,FALSE)</f>
        <v>#N/A</v>
      </c>
      <c r="Q1670" t="str">
        <f>VLOOKUP(E1670,Sales_Reps!$A:$E,3,FALSE)</f>
        <v>North</v>
      </c>
      <c r="R1670" t="str">
        <f>VLOOKUP(E1670,Sales_Reps!$A:$E,2,FALSE)</f>
        <v>Amit Singh</v>
      </c>
      <c r="S1670">
        <f t="shared" si="26"/>
        <v>0.265625</v>
      </c>
    </row>
    <row r="1671" spans="1:19" x14ac:dyDescent="0.3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  <c r="L1671" t="str">
        <f>VLOOKUP(D1671,Products!$A:$F,3,FALSE)</f>
        <v>Beauty</v>
      </c>
      <c r="M1671" t="b">
        <f>VLOOKUP(D1671,Products!$A:$F,6,FALSE)</f>
        <v>1</v>
      </c>
      <c r="N1671">
        <f>VLOOKUP(D1671,Products!$A:$F,4,FALSE)</f>
        <v>2237</v>
      </c>
      <c r="O1671" t="str">
        <f>VLOOKUP(C1671,Customers!$A:$F,5,FALSE)</f>
        <v>Retail</v>
      </c>
      <c r="P1671">
        <f>VLOOKUP(C1671,Customers!$A:$F,3,FALSE)</f>
        <v>32</v>
      </c>
      <c r="Q1671" t="str">
        <f>VLOOKUP(E1671,Sales_Reps!$A:$E,3,FALSE)</f>
        <v>South</v>
      </c>
      <c r="R1671" t="str">
        <f>VLOOKUP(E1671,Sales_Reps!$A:$E,2,FALSE)</f>
        <v>Manoj Patel</v>
      </c>
      <c r="S1671">
        <f t="shared" si="26"/>
        <v>0.56137254901960787</v>
      </c>
    </row>
    <row r="1672" spans="1:19" x14ac:dyDescent="0.3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  <c r="L1672" t="str">
        <f>VLOOKUP(D1672,Products!$A:$F,3,FALSE)</f>
        <v>Apparel</v>
      </c>
      <c r="M1672" t="b">
        <f>VLOOKUP(D1672,Products!$A:$F,6,FALSE)</f>
        <v>1</v>
      </c>
      <c r="N1672">
        <f>VLOOKUP(D1672,Products!$A:$F,4,FALSE)</f>
        <v>1886</v>
      </c>
      <c r="O1672" t="str">
        <f>VLOOKUP(C1672,Customers!$A:$F,5,FALSE)</f>
        <v>Retail</v>
      </c>
      <c r="P1672">
        <f>VLOOKUP(C1672,Customers!$A:$F,3,FALSE)</f>
        <v>25</v>
      </c>
      <c r="Q1672" t="str">
        <f>VLOOKUP(E1672,Sales_Reps!$A:$E,3,FALSE)</f>
        <v>North</v>
      </c>
      <c r="R1672" t="str">
        <f>VLOOKUP(E1672,Sales_Reps!$A:$E,2,FALSE)</f>
        <v>Priya Singh</v>
      </c>
      <c r="S1672">
        <f t="shared" si="26"/>
        <v>0.4031645569620253</v>
      </c>
    </row>
    <row r="1673" spans="1:19" x14ac:dyDescent="0.3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  <c r="L1673" t="str">
        <f>VLOOKUP(D1673,Products!$A:$F,3,FALSE)</f>
        <v>Beauty</v>
      </c>
      <c r="M1673" t="b">
        <f>VLOOKUP(D1673,Products!$A:$F,6,FALSE)</f>
        <v>0</v>
      </c>
      <c r="N1673">
        <f>VLOOKUP(D1673,Products!$A:$F,4,FALSE)</f>
        <v>647</v>
      </c>
      <c r="O1673" t="e">
        <f>VLOOKUP(C1673,Customers!$A:$F,5,FALSE)</f>
        <v>#N/A</v>
      </c>
      <c r="P1673" t="e">
        <f>VLOOKUP(C1673,Customers!$A:$F,3,FALSE)</f>
        <v>#N/A</v>
      </c>
      <c r="Q1673" t="str">
        <f>VLOOKUP(E1673,Sales_Reps!$A:$E,3,FALSE)</f>
        <v>North</v>
      </c>
      <c r="R1673" t="str">
        <f>VLOOKUP(E1673,Sales_Reps!$A:$E,2,FALSE)</f>
        <v>Vikram Patel</v>
      </c>
      <c r="S1673">
        <f t="shared" si="26"/>
        <v>0.57987012987012987</v>
      </c>
    </row>
    <row r="1674" spans="1:19" x14ac:dyDescent="0.3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  <c r="L1674" t="str">
        <f>VLOOKUP(D1674,Products!$A:$F,3,FALSE)</f>
        <v>Beauty</v>
      </c>
      <c r="M1674" t="b">
        <f>VLOOKUP(D1674,Products!$A:$F,6,FALSE)</f>
        <v>1</v>
      </c>
      <c r="N1674">
        <f>VLOOKUP(D1674,Products!$A:$F,4,FALSE)</f>
        <v>2420</v>
      </c>
      <c r="O1674" t="str">
        <f>VLOOKUP(C1674,Customers!$A:$F,5,FALSE)</f>
        <v>SMB</v>
      </c>
      <c r="P1674">
        <f>VLOOKUP(C1674,Customers!$A:$F,3,FALSE)</f>
        <v>46</v>
      </c>
      <c r="Q1674" t="str">
        <f>VLOOKUP(E1674,Sales_Reps!$A:$E,3,FALSE)</f>
        <v>West</v>
      </c>
      <c r="R1674" t="str">
        <f>VLOOKUP(E1674,Sales_Reps!$A:$E,2,FALSE)</f>
        <v>Rekha Chopra</v>
      </c>
      <c r="S1674">
        <f t="shared" si="26"/>
        <v>0.29855072463768118</v>
      </c>
    </row>
    <row r="1675" spans="1:19" x14ac:dyDescent="0.3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  <c r="L1675" t="str">
        <f>VLOOKUP(D1675,Products!$A:$F,3,FALSE)</f>
        <v>Grocery</v>
      </c>
      <c r="M1675" t="b">
        <f>VLOOKUP(D1675,Products!$A:$F,6,FALSE)</f>
        <v>1</v>
      </c>
      <c r="N1675">
        <f>VLOOKUP(D1675,Products!$A:$F,4,FALSE)</f>
        <v>1182</v>
      </c>
      <c r="O1675" t="str">
        <f>VLOOKUP(C1675,Customers!$A:$F,5,FALSE)</f>
        <v>Retail</v>
      </c>
      <c r="P1675">
        <f>VLOOKUP(C1675,Customers!$A:$F,3,FALSE)</f>
        <v>61</v>
      </c>
      <c r="Q1675" t="str">
        <f>VLOOKUP(E1675,Sales_Reps!$A:$E,3,FALSE)</f>
        <v>West</v>
      </c>
      <c r="R1675" t="str">
        <f>VLOOKUP(E1675,Sales_Reps!$A:$E,2,FALSE)</f>
        <v>Sonia Malhotra</v>
      </c>
      <c r="S1675">
        <f t="shared" si="26"/>
        <v>0.50336134453781511</v>
      </c>
    </row>
    <row r="1676" spans="1:19" x14ac:dyDescent="0.3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  <c r="L1676" t="str">
        <f>VLOOKUP(D1676,Products!$A:$F,3,FALSE)</f>
        <v>Home</v>
      </c>
      <c r="M1676" t="b">
        <f>VLOOKUP(D1676,Products!$A:$F,6,FALSE)</f>
        <v>1</v>
      </c>
      <c r="N1676">
        <f>VLOOKUP(D1676,Products!$A:$F,4,FALSE)</f>
        <v>2135</v>
      </c>
      <c r="O1676" t="str">
        <f>VLOOKUP(C1676,Customers!$A:$F,5,FALSE)</f>
        <v>Retail</v>
      </c>
      <c r="P1676">
        <f>VLOOKUP(C1676,Customers!$A:$F,3,FALSE)</f>
        <v>25</v>
      </c>
      <c r="Q1676" t="str">
        <f>VLOOKUP(E1676,Sales_Reps!$A:$E,3,FALSE)</f>
        <v>North</v>
      </c>
      <c r="R1676" t="str">
        <f>VLOOKUP(E1676,Sales_Reps!$A:$E,2,FALSE)</f>
        <v>Amit Singh</v>
      </c>
      <c r="S1676">
        <f t="shared" si="26"/>
        <v>0.42761394101876676</v>
      </c>
    </row>
    <row r="1677" spans="1:19" x14ac:dyDescent="0.3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  <c r="L1677" t="str">
        <f>VLOOKUP(D1677,Products!$A:$F,3,FALSE)</f>
        <v>Home</v>
      </c>
      <c r="M1677" t="b">
        <f>VLOOKUP(D1677,Products!$A:$F,6,FALSE)</f>
        <v>1</v>
      </c>
      <c r="N1677">
        <f>VLOOKUP(D1677,Products!$A:$F,4,FALSE)</f>
        <v>1556</v>
      </c>
      <c r="O1677" t="str">
        <f>VLOOKUP(C1677,Customers!$A:$F,5,FALSE)</f>
        <v>Retail</v>
      </c>
      <c r="P1677">
        <f>VLOOKUP(C1677,Customers!$A:$F,3,FALSE)</f>
        <v>43</v>
      </c>
      <c r="Q1677" t="str">
        <f>VLOOKUP(E1677,Sales_Reps!$A:$E,3,FALSE)</f>
        <v>North</v>
      </c>
      <c r="R1677" t="str">
        <f>VLOOKUP(E1677,Sales_Reps!$A:$E,2,FALSE)</f>
        <v>Sunita Malhotra</v>
      </c>
      <c r="S1677">
        <f t="shared" si="26"/>
        <v>0.52123076923076928</v>
      </c>
    </row>
    <row r="1678" spans="1:19" x14ac:dyDescent="0.3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  <c r="L1678" t="str">
        <f>VLOOKUP(D1678,Products!$A:$F,3,FALSE)</f>
        <v>Sports</v>
      </c>
      <c r="M1678" t="b">
        <f>VLOOKUP(D1678,Products!$A:$F,6,FALSE)</f>
        <v>0</v>
      </c>
      <c r="N1678">
        <f>VLOOKUP(D1678,Products!$A:$F,4,FALSE)</f>
        <v>302</v>
      </c>
      <c r="O1678" t="str">
        <f>VLOOKUP(C1678,Customers!$A:$F,5,FALSE)</f>
        <v>Retail</v>
      </c>
      <c r="P1678">
        <f>VLOOKUP(C1678,Customers!$A:$F,3,FALSE)</f>
        <v>35</v>
      </c>
      <c r="Q1678" t="str">
        <f>VLOOKUP(E1678,Sales_Reps!$A:$E,3,FALSE)</f>
        <v>East</v>
      </c>
      <c r="R1678" t="str">
        <f>VLOOKUP(E1678,Sales_Reps!$A:$E,2,FALSE)</f>
        <v>Meera Iyer</v>
      </c>
      <c r="S1678">
        <f t="shared" si="26"/>
        <v>0.35744680851063831</v>
      </c>
    </row>
    <row r="1679" spans="1:19" x14ac:dyDescent="0.3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  <c r="L1679" t="str">
        <f>VLOOKUP(D1679,Products!$A:$F,3,FALSE)</f>
        <v>Beauty</v>
      </c>
      <c r="M1679" t="b">
        <f>VLOOKUP(D1679,Products!$A:$F,6,FALSE)</f>
        <v>1</v>
      </c>
      <c r="N1679">
        <f>VLOOKUP(D1679,Products!$A:$F,4,FALSE)</f>
        <v>1219</v>
      </c>
      <c r="O1679" t="str">
        <f>VLOOKUP(C1679,Customers!$A:$F,5,FALSE)</f>
        <v>Corporate</v>
      </c>
      <c r="P1679">
        <f>VLOOKUP(C1679,Customers!$A:$F,3,FALSE)</f>
        <v>43</v>
      </c>
      <c r="Q1679" t="str">
        <f>VLOOKUP(E1679,Sales_Reps!$A:$E,3,FALSE)</f>
        <v>West</v>
      </c>
      <c r="R1679" t="str">
        <f>VLOOKUP(E1679,Sales_Reps!$A:$E,2,FALSE)</f>
        <v>Sonia Malhotra</v>
      </c>
      <c r="S1679">
        <f t="shared" si="26"/>
        <v>0.46768558951965067</v>
      </c>
    </row>
    <row r="1680" spans="1:19" x14ac:dyDescent="0.3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  <c r="L1680" t="str">
        <f>VLOOKUP(D1680,Products!$A:$F,3,FALSE)</f>
        <v>Electronics</v>
      </c>
      <c r="M1680" t="b">
        <f>VLOOKUP(D1680,Products!$A:$F,6,FALSE)</f>
        <v>1</v>
      </c>
      <c r="N1680">
        <f>VLOOKUP(D1680,Products!$A:$F,4,FALSE)</f>
        <v>861</v>
      </c>
      <c r="O1680" t="str">
        <f>VLOOKUP(C1680,Customers!$A:$F,5,FALSE)</f>
        <v>Retail</v>
      </c>
      <c r="P1680">
        <f>VLOOKUP(C1680,Customers!$A:$F,3,FALSE)</f>
        <v>31</v>
      </c>
      <c r="Q1680" t="str">
        <f>VLOOKUP(E1680,Sales_Reps!$A:$E,3,FALSE)</f>
        <v>West</v>
      </c>
      <c r="R1680" t="str">
        <f>VLOOKUP(E1680,Sales_Reps!$A:$E,2,FALSE)</f>
        <v>Arun Iyer</v>
      </c>
      <c r="S1680">
        <f t="shared" si="26"/>
        <v>0.39790209790209791</v>
      </c>
    </row>
    <row r="1681" spans="1:19" x14ac:dyDescent="0.3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  <c r="L1681" t="str">
        <f>VLOOKUP(D1681,Products!$A:$F,3,FALSE)</f>
        <v>Sports</v>
      </c>
      <c r="M1681" t="b">
        <f>VLOOKUP(D1681,Products!$A:$F,6,FALSE)</f>
        <v>1</v>
      </c>
      <c r="N1681">
        <f>VLOOKUP(D1681,Products!$A:$F,4,FALSE)</f>
        <v>2028</v>
      </c>
      <c r="O1681" t="str">
        <f>VLOOKUP(C1681,Customers!$A:$F,5,FALSE)</f>
        <v>Retail</v>
      </c>
      <c r="P1681">
        <f>VLOOKUP(C1681,Customers!$A:$F,3,FALSE)</f>
        <v>54</v>
      </c>
      <c r="Q1681" t="str">
        <f>VLOOKUP(E1681,Sales_Reps!$A:$E,3,FALSE)</f>
        <v>North</v>
      </c>
      <c r="R1681" t="str">
        <f>VLOOKUP(E1681,Sales_Reps!$A:$E,2,FALSE)</f>
        <v>Sunita Malhotra</v>
      </c>
      <c r="S1681">
        <f t="shared" si="26"/>
        <v>0.29090909090909089</v>
      </c>
    </row>
    <row r="1682" spans="1:19" x14ac:dyDescent="0.3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  <c r="L1682" t="str">
        <f>VLOOKUP(D1682,Products!$A:$F,3,FALSE)</f>
        <v>Beauty</v>
      </c>
      <c r="M1682" t="b">
        <f>VLOOKUP(D1682,Products!$A:$F,6,FALSE)</f>
        <v>1</v>
      </c>
      <c r="N1682">
        <f>VLOOKUP(D1682,Products!$A:$F,4,FALSE)</f>
        <v>2420</v>
      </c>
      <c r="O1682" t="str">
        <f>VLOOKUP(C1682,Customers!$A:$F,5,FALSE)</f>
        <v>Retail</v>
      </c>
      <c r="P1682">
        <f>VLOOKUP(C1682,Customers!$A:$F,3,FALSE)</f>
        <v>65</v>
      </c>
      <c r="Q1682" t="str">
        <f>VLOOKUP(E1682,Sales_Reps!$A:$E,3,FALSE)</f>
        <v>East</v>
      </c>
      <c r="R1682" t="str">
        <f>VLOOKUP(E1682,Sales_Reps!$A:$E,2,FALSE)</f>
        <v>Meera Iyer</v>
      </c>
      <c r="S1682">
        <f t="shared" si="26"/>
        <v>0.29855072463768118</v>
      </c>
    </row>
    <row r="1683" spans="1:19" x14ac:dyDescent="0.3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  <c r="L1683" t="str">
        <f>VLOOKUP(D1683,Products!$A:$F,3,FALSE)</f>
        <v>Sports</v>
      </c>
      <c r="M1683" t="b">
        <f>VLOOKUP(D1683,Products!$A:$F,6,FALSE)</f>
        <v>1</v>
      </c>
      <c r="N1683">
        <f>VLOOKUP(D1683,Products!$A:$F,4,FALSE)</f>
        <v>2265</v>
      </c>
      <c r="O1683" t="str">
        <f>VLOOKUP(C1683,Customers!$A:$F,5,FALSE)</f>
        <v>Retail</v>
      </c>
      <c r="P1683">
        <f>VLOOKUP(C1683,Customers!$A:$F,3,FALSE)</f>
        <v>62</v>
      </c>
      <c r="Q1683" t="str">
        <f>VLOOKUP(E1683,Sales_Reps!$A:$E,3,FALSE)</f>
        <v>East</v>
      </c>
      <c r="R1683" t="str">
        <f>VLOOKUP(E1683,Sales_Reps!$A:$E,2,FALSE)</f>
        <v>Prakash Shah</v>
      </c>
      <c r="S1683">
        <f t="shared" si="26"/>
        <v>0.58133086876155271</v>
      </c>
    </row>
    <row r="1684" spans="1:19" x14ac:dyDescent="0.3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  <c r="L1684" t="str">
        <f>VLOOKUP(D1684,Products!$A:$F,3,FALSE)</f>
        <v>Home</v>
      </c>
      <c r="M1684" t="b">
        <f>VLOOKUP(D1684,Products!$A:$F,6,FALSE)</f>
        <v>1</v>
      </c>
      <c r="N1684">
        <f>VLOOKUP(D1684,Products!$A:$F,4,FALSE)</f>
        <v>519</v>
      </c>
      <c r="O1684" t="str">
        <f>VLOOKUP(C1684,Customers!$A:$F,5,FALSE)</f>
        <v>Retail</v>
      </c>
      <c r="P1684">
        <f>VLOOKUP(C1684,Customers!$A:$F,3,FALSE)</f>
        <v>62</v>
      </c>
      <c r="Q1684" t="str">
        <f>VLOOKUP(E1684,Sales_Reps!$A:$E,3,FALSE)</f>
        <v>West</v>
      </c>
      <c r="R1684" t="str">
        <f>VLOOKUP(E1684,Sales_Reps!$A:$E,2,FALSE)</f>
        <v>Ashok Reddy</v>
      </c>
      <c r="S1684">
        <f t="shared" si="26"/>
        <v>0.51944444444444449</v>
      </c>
    </row>
    <row r="1685" spans="1:19" x14ac:dyDescent="0.3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  <c r="L1685" t="str">
        <f>VLOOKUP(D1685,Products!$A:$F,3,FALSE)</f>
        <v>Sports</v>
      </c>
      <c r="M1685" t="b">
        <f>VLOOKUP(D1685,Products!$A:$F,6,FALSE)</f>
        <v>1</v>
      </c>
      <c r="N1685">
        <f>VLOOKUP(D1685,Products!$A:$F,4,FALSE)</f>
        <v>2028</v>
      </c>
      <c r="O1685" t="str">
        <f>VLOOKUP(C1685,Customers!$A:$F,5,FALSE)</f>
        <v>Retail</v>
      </c>
      <c r="P1685">
        <f>VLOOKUP(C1685,Customers!$A:$F,3,FALSE)</f>
        <v>46</v>
      </c>
      <c r="Q1685" t="str">
        <f>VLOOKUP(E1685,Sales_Reps!$A:$E,3,FALSE)</f>
        <v>East</v>
      </c>
      <c r="R1685" t="str">
        <f>VLOOKUP(E1685,Sales_Reps!$A:$E,2,FALSE)</f>
        <v>Prakash Shah</v>
      </c>
      <c r="S1685">
        <f t="shared" si="26"/>
        <v>0.29090909090909089</v>
      </c>
    </row>
    <row r="1686" spans="1:19" x14ac:dyDescent="0.3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  <c r="L1686" t="str">
        <f>VLOOKUP(D1686,Products!$A:$F,3,FALSE)</f>
        <v>Beauty</v>
      </c>
      <c r="M1686" t="b">
        <f>VLOOKUP(D1686,Products!$A:$F,6,FALSE)</f>
        <v>1</v>
      </c>
      <c r="N1686">
        <f>VLOOKUP(D1686,Products!$A:$F,4,FALSE)</f>
        <v>1626</v>
      </c>
      <c r="O1686" t="e">
        <f>VLOOKUP(C1686,Customers!$A:$F,5,FALSE)</f>
        <v>#N/A</v>
      </c>
      <c r="P1686" t="e">
        <f>VLOOKUP(C1686,Customers!$A:$F,3,FALSE)</f>
        <v>#N/A</v>
      </c>
      <c r="Q1686" t="str">
        <f>VLOOKUP(E1686,Sales_Reps!$A:$E,3,FALSE)</f>
        <v>South</v>
      </c>
      <c r="R1686" t="str">
        <f>VLOOKUP(E1686,Sales_Reps!$A:$E,2,FALSE)</f>
        <v>Sanjay Kapoor</v>
      </c>
      <c r="S1686">
        <f t="shared" si="26"/>
        <v>0.46158940397350995</v>
      </c>
    </row>
    <row r="1687" spans="1:19" x14ac:dyDescent="0.3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  <c r="L1687" t="str">
        <f>VLOOKUP(D1687,Products!$A:$F,3,FALSE)</f>
        <v>Sports</v>
      </c>
      <c r="M1687" t="b">
        <f>VLOOKUP(D1687,Products!$A:$F,6,FALSE)</f>
        <v>1</v>
      </c>
      <c r="N1687">
        <f>VLOOKUP(D1687,Products!$A:$F,4,FALSE)</f>
        <v>705</v>
      </c>
      <c r="O1687" t="str">
        <f>VLOOKUP(C1687,Customers!$A:$F,5,FALSE)</f>
        <v>SMB</v>
      </c>
      <c r="P1687">
        <f>VLOOKUP(C1687,Customers!$A:$F,3,FALSE)</f>
        <v>54</v>
      </c>
      <c r="Q1687" t="str">
        <f>VLOOKUP(E1687,Sales_Reps!$A:$E,3,FALSE)</f>
        <v>West</v>
      </c>
      <c r="R1687" t="str">
        <f>VLOOKUP(E1687,Sales_Reps!$A:$E,2,FALSE)</f>
        <v>Ashok Reddy</v>
      </c>
      <c r="S1687">
        <f t="shared" si="26"/>
        <v>0.265625</v>
      </c>
    </row>
    <row r="1688" spans="1:19" x14ac:dyDescent="0.3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  <c r="L1688" t="str">
        <f>VLOOKUP(D1688,Products!$A:$F,3,FALSE)</f>
        <v>Electronics</v>
      </c>
      <c r="M1688" t="b">
        <f>VLOOKUP(D1688,Products!$A:$F,6,FALSE)</f>
        <v>1</v>
      </c>
      <c r="N1688">
        <f>VLOOKUP(D1688,Products!$A:$F,4,FALSE)</f>
        <v>1559</v>
      </c>
      <c r="O1688" t="str">
        <f>VLOOKUP(C1688,Customers!$A:$F,5,FALSE)</f>
        <v>Corporate</v>
      </c>
      <c r="P1688">
        <f>VLOOKUP(C1688,Customers!$A:$F,3,FALSE)</f>
        <v>60</v>
      </c>
      <c r="Q1688" t="str">
        <f>VLOOKUP(E1688,Sales_Reps!$A:$E,3,FALSE)</f>
        <v>West</v>
      </c>
      <c r="R1688" t="str">
        <f>VLOOKUP(E1688,Sales_Reps!$A:$E,2,FALSE)</f>
        <v>Arun Iyer</v>
      </c>
      <c r="S1688">
        <f t="shared" si="26"/>
        <v>0.59715762273901807</v>
      </c>
    </row>
    <row r="1689" spans="1:19" x14ac:dyDescent="0.3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  <c r="L1689" t="str">
        <f>VLOOKUP(D1689,Products!$A:$F,3,FALSE)</f>
        <v>Apparel</v>
      </c>
      <c r="M1689" t="b">
        <f>VLOOKUP(D1689,Products!$A:$F,6,FALSE)</f>
        <v>1</v>
      </c>
      <c r="N1689">
        <f>VLOOKUP(D1689,Products!$A:$F,4,FALSE)</f>
        <v>1886</v>
      </c>
      <c r="O1689" t="str">
        <f>VLOOKUP(C1689,Customers!$A:$F,5,FALSE)</f>
        <v>Retail</v>
      </c>
      <c r="P1689">
        <f>VLOOKUP(C1689,Customers!$A:$F,3,FALSE)</f>
        <v>39</v>
      </c>
      <c r="Q1689" t="str">
        <f>VLOOKUP(E1689,Sales_Reps!$A:$E,3,FALSE)</f>
        <v>East</v>
      </c>
      <c r="R1689" t="str">
        <f>VLOOKUP(E1689,Sales_Reps!$A:$E,2,FALSE)</f>
        <v>Meera Iyer</v>
      </c>
      <c r="S1689">
        <f t="shared" si="26"/>
        <v>0.4031645569620253</v>
      </c>
    </row>
    <row r="1690" spans="1:19" x14ac:dyDescent="0.3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  <c r="L1690" t="str">
        <f>VLOOKUP(D1690,Products!$A:$F,3,FALSE)</f>
        <v>Beauty</v>
      </c>
      <c r="M1690" t="b">
        <f>VLOOKUP(D1690,Products!$A:$F,6,FALSE)</f>
        <v>1</v>
      </c>
      <c r="N1690">
        <f>VLOOKUP(D1690,Products!$A:$F,4,FALSE)</f>
        <v>2420</v>
      </c>
      <c r="O1690" t="str">
        <f>VLOOKUP(C1690,Customers!$A:$F,5,FALSE)</f>
        <v>SMB</v>
      </c>
      <c r="P1690">
        <f>VLOOKUP(C1690,Customers!$A:$F,3,FALSE)</f>
        <v>30</v>
      </c>
      <c r="Q1690" t="str">
        <f>VLOOKUP(E1690,Sales_Reps!$A:$E,3,FALSE)</f>
        <v>West</v>
      </c>
      <c r="R1690" t="str">
        <f>VLOOKUP(E1690,Sales_Reps!$A:$E,2,FALSE)</f>
        <v>Ramesh Bhatt</v>
      </c>
      <c r="S1690">
        <f t="shared" si="26"/>
        <v>0.29855072463768118</v>
      </c>
    </row>
    <row r="1691" spans="1:19" x14ac:dyDescent="0.3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  <c r="L1691" t="str">
        <f>VLOOKUP(D1691,Products!$A:$F,3,FALSE)</f>
        <v>Beauty</v>
      </c>
      <c r="M1691" t="b">
        <f>VLOOKUP(D1691,Products!$A:$F,6,FALSE)</f>
        <v>1</v>
      </c>
      <c r="N1691">
        <f>VLOOKUP(D1691,Products!$A:$F,4,FALSE)</f>
        <v>675</v>
      </c>
      <c r="O1691" t="str">
        <f>VLOOKUP(C1691,Customers!$A:$F,5,FALSE)</f>
        <v>SMB</v>
      </c>
      <c r="P1691">
        <f>VLOOKUP(C1691,Customers!$A:$F,3,FALSE)</f>
        <v>26</v>
      </c>
      <c r="Q1691" t="str">
        <f>VLOOKUP(E1691,Sales_Reps!$A:$E,3,FALSE)</f>
        <v>East</v>
      </c>
      <c r="R1691" t="str">
        <f>VLOOKUP(E1691,Sales_Reps!$A:$E,2,FALSE)</f>
        <v>Shalini Patel</v>
      </c>
      <c r="S1691">
        <f t="shared" si="26"/>
        <v>0.296875</v>
      </c>
    </row>
    <row r="1692" spans="1:19" x14ac:dyDescent="0.3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  <c r="L1692" t="str">
        <f>VLOOKUP(D1692,Products!$A:$F,3,FALSE)</f>
        <v>Sports</v>
      </c>
      <c r="M1692" t="b">
        <f>VLOOKUP(D1692,Products!$A:$F,6,FALSE)</f>
        <v>1</v>
      </c>
      <c r="N1692">
        <f>VLOOKUP(D1692,Products!$A:$F,4,FALSE)</f>
        <v>2827</v>
      </c>
      <c r="O1692" t="str">
        <f>VLOOKUP(C1692,Customers!$A:$F,5,FALSE)</f>
        <v>Retail</v>
      </c>
      <c r="P1692">
        <f>VLOOKUP(C1692,Customers!$A:$F,3,FALSE)</f>
        <v>27</v>
      </c>
      <c r="Q1692" t="str">
        <f>VLOOKUP(E1692,Sales_Reps!$A:$E,3,FALSE)</f>
        <v>East</v>
      </c>
      <c r="R1692" t="str">
        <f>VLOOKUP(E1692,Sales_Reps!$A:$E,2,FALSE)</f>
        <v>Shalini Patel</v>
      </c>
      <c r="S1692">
        <f t="shared" si="26"/>
        <v>0.5926512968299712</v>
      </c>
    </row>
    <row r="1693" spans="1:19" x14ac:dyDescent="0.3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  <c r="L1693" t="str">
        <f>VLOOKUP(D1693,Products!$A:$F,3,FALSE)</f>
        <v>Sports</v>
      </c>
      <c r="M1693" t="b">
        <f>VLOOKUP(D1693,Products!$A:$F,6,FALSE)</f>
        <v>1</v>
      </c>
      <c r="N1693">
        <f>VLOOKUP(D1693,Products!$A:$F,4,FALSE)</f>
        <v>974</v>
      </c>
      <c r="O1693" t="str">
        <f>VLOOKUP(C1693,Customers!$A:$F,5,FALSE)</f>
        <v>Corporate</v>
      </c>
      <c r="P1693">
        <f>VLOOKUP(C1693,Customers!$A:$F,3,FALSE)</f>
        <v>26</v>
      </c>
      <c r="Q1693" t="str">
        <f>VLOOKUP(E1693,Sales_Reps!$A:$E,3,FALSE)</f>
        <v>South</v>
      </c>
      <c r="R1693" t="str">
        <f>VLOOKUP(E1693,Sales_Reps!$A:$E,2,FALSE)</f>
        <v>Manoj Patel</v>
      </c>
      <c r="S1693">
        <f t="shared" si="26"/>
        <v>0.59416666666666662</v>
      </c>
    </row>
    <row r="1694" spans="1:19" x14ac:dyDescent="0.3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  <c r="L1694" t="str">
        <f>VLOOKUP(D1694,Products!$A:$F,3,FALSE)</f>
        <v>Sports</v>
      </c>
      <c r="M1694" t="b">
        <f>VLOOKUP(D1694,Products!$A:$F,6,FALSE)</f>
        <v>1</v>
      </c>
      <c r="N1694">
        <f>VLOOKUP(D1694,Products!$A:$F,4,FALSE)</f>
        <v>2265</v>
      </c>
      <c r="O1694" t="str">
        <f>VLOOKUP(C1694,Customers!$A:$F,5,FALSE)</f>
        <v>Retail</v>
      </c>
      <c r="P1694">
        <f>VLOOKUP(C1694,Customers!$A:$F,3,FALSE)</f>
        <v>38</v>
      </c>
      <c r="Q1694" t="str">
        <f>VLOOKUP(E1694,Sales_Reps!$A:$E,3,FALSE)</f>
        <v>East</v>
      </c>
      <c r="R1694" t="str">
        <f>VLOOKUP(E1694,Sales_Reps!$A:$E,2,FALSE)</f>
        <v>Naveen Singh</v>
      </c>
      <c r="S1694">
        <f t="shared" si="26"/>
        <v>0.58133086876155271</v>
      </c>
    </row>
    <row r="1695" spans="1:19" x14ac:dyDescent="0.3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  <c r="L1695" t="str">
        <f>VLOOKUP(D1695,Products!$A:$F,3,FALSE)</f>
        <v>Electronics</v>
      </c>
      <c r="M1695" t="b">
        <f>VLOOKUP(D1695,Products!$A:$F,6,FALSE)</f>
        <v>1</v>
      </c>
      <c r="N1695">
        <f>VLOOKUP(D1695,Products!$A:$F,4,FALSE)</f>
        <v>517</v>
      </c>
      <c r="O1695" t="str">
        <f>VLOOKUP(C1695,Customers!$A:$F,5,FALSE)</f>
        <v>Retail</v>
      </c>
      <c r="P1695">
        <f>VLOOKUP(C1695,Customers!$A:$F,3,FALSE)</f>
        <v>54</v>
      </c>
      <c r="Q1695" t="str">
        <f>VLOOKUP(E1695,Sales_Reps!$A:$E,3,FALSE)</f>
        <v>North</v>
      </c>
      <c r="R1695" t="str">
        <f>VLOOKUP(E1695,Sales_Reps!$A:$E,2,FALSE)</f>
        <v>Priya Singh</v>
      </c>
      <c r="S1695">
        <f t="shared" si="26"/>
        <v>0.57622950819672136</v>
      </c>
    </row>
    <row r="1696" spans="1:19" x14ac:dyDescent="0.3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  <c r="L1696" t="str">
        <f>VLOOKUP(D1696,Products!$A:$F,3,FALSE)</f>
        <v>Home</v>
      </c>
      <c r="M1696" t="b">
        <f>VLOOKUP(D1696,Products!$A:$F,6,FALSE)</f>
        <v>1</v>
      </c>
      <c r="N1696">
        <f>VLOOKUP(D1696,Products!$A:$F,4,FALSE)</f>
        <v>464</v>
      </c>
      <c r="O1696" t="str">
        <f>VLOOKUP(C1696,Customers!$A:$F,5,FALSE)</f>
        <v>Retail</v>
      </c>
      <c r="P1696">
        <f>VLOOKUP(C1696,Customers!$A:$F,3,FALSE)</f>
        <v>31</v>
      </c>
      <c r="Q1696" t="str">
        <f>VLOOKUP(E1696,Sales_Reps!$A:$E,3,FALSE)</f>
        <v>East</v>
      </c>
      <c r="R1696" t="str">
        <f>VLOOKUP(E1696,Sales_Reps!$A:$E,2,FALSE)</f>
        <v>Prakash Shah</v>
      </c>
      <c r="S1696">
        <f t="shared" si="26"/>
        <v>0.57431192660550456</v>
      </c>
    </row>
    <row r="1697" spans="1:19" x14ac:dyDescent="0.3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  <c r="L1697" t="str">
        <f>VLOOKUP(D1697,Products!$A:$F,3,FALSE)</f>
        <v>Grocery</v>
      </c>
      <c r="M1697" t="b">
        <f>VLOOKUP(D1697,Products!$A:$F,6,FALSE)</f>
        <v>1</v>
      </c>
      <c r="N1697">
        <f>VLOOKUP(D1697,Products!$A:$F,4,FALSE)</f>
        <v>1435</v>
      </c>
      <c r="O1697" t="str">
        <f>VLOOKUP(C1697,Customers!$A:$F,5,FALSE)</f>
        <v>Retail</v>
      </c>
      <c r="P1697">
        <f>VLOOKUP(C1697,Customers!$A:$F,3,FALSE)</f>
        <v>28</v>
      </c>
      <c r="Q1697" t="str">
        <f>VLOOKUP(E1697,Sales_Reps!$A:$E,3,FALSE)</f>
        <v>East</v>
      </c>
      <c r="R1697" t="str">
        <f>VLOOKUP(E1697,Sales_Reps!$A:$E,2,FALSE)</f>
        <v>Vinod Kumar</v>
      </c>
      <c r="S1697">
        <f t="shared" si="26"/>
        <v>0.48007246376811596</v>
      </c>
    </row>
    <row r="1698" spans="1:19" x14ac:dyDescent="0.3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  <c r="L1698" t="str">
        <f>VLOOKUP(D1698,Products!$A:$F,3,FALSE)</f>
        <v>Electronics</v>
      </c>
      <c r="M1698" t="b">
        <f>VLOOKUP(D1698,Products!$A:$F,6,FALSE)</f>
        <v>1</v>
      </c>
      <c r="N1698">
        <f>VLOOKUP(D1698,Products!$A:$F,4,FALSE)</f>
        <v>1665</v>
      </c>
      <c r="O1698" t="str">
        <f>VLOOKUP(C1698,Customers!$A:$F,5,FALSE)</f>
        <v>SMB</v>
      </c>
      <c r="P1698">
        <f>VLOOKUP(C1698,Customers!$A:$F,3,FALSE)</f>
        <v>43</v>
      </c>
      <c r="Q1698" t="str">
        <f>VLOOKUP(E1698,Sales_Reps!$A:$E,3,FALSE)</f>
        <v>West</v>
      </c>
      <c r="R1698" t="str">
        <f>VLOOKUP(E1698,Sales_Reps!$A:$E,2,FALSE)</f>
        <v>Sonia Malhotra</v>
      </c>
      <c r="S1698">
        <f t="shared" si="26"/>
        <v>0.53361344537815125</v>
      </c>
    </row>
    <row r="1699" spans="1:19" x14ac:dyDescent="0.3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  <c r="L1699" t="str">
        <f>VLOOKUP(D1699,Products!$A:$F,3,FALSE)</f>
        <v>Electronics</v>
      </c>
      <c r="M1699" t="b">
        <f>VLOOKUP(D1699,Products!$A:$F,6,FALSE)</f>
        <v>1</v>
      </c>
      <c r="N1699">
        <f>VLOOKUP(D1699,Products!$A:$F,4,FALSE)</f>
        <v>517</v>
      </c>
      <c r="O1699" t="str">
        <f>VLOOKUP(C1699,Customers!$A:$F,5,FALSE)</f>
        <v>Retail</v>
      </c>
      <c r="P1699">
        <f>VLOOKUP(C1699,Customers!$A:$F,3,FALSE)</f>
        <v>28</v>
      </c>
      <c r="Q1699" t="str">
        <f>VLOOKUP(E1699,Sales_Reps!$A:$E,3,FALSE)</f>
        <v>North</v>
      </c>
      <c r="R1699" t="str">
        <f>VLOOKUP(E1699,Sales_Reps!$A:$E,2,FALSE)</f>
        <v>Priya Singh</v>
      </c>
      <c r="S1699">
        <f t="shared" si="26"/>
        <v>0.57622950819672136</v>
      </c>
    </row>
    <row r="1700" spans="1:19" x14ac:dyDescent="0.3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  <c r="L1700" t="str">
        <f>VLOOKUP(D1700,Products!$A:$F,3,FALSE)</f>
        <v>Sports</v>
      </c>
      <c r="M1700" t="b">
        <f>VLOOKUP(D1700,Products!$A:$F,6,FALSE)</f>
        <v>1</v>
      </c>
      <c r="N1700">
        <f>VLOOKUP(D1700,Products!$A:$F,4,FALSE)</f>
        <v>2467</v>
      </c>
      <c r="O1700" t="str">
        <f>VLOOKUP(C1700,Customers!$A:$F,5,FALSE)</f>
        <v>Retail</v>
      </c>
      <c r="P1700">
        <f>VLOOKUP(C1700,Customers!$A:$F,3,FALSE)</f>
        <v>39</v>
      </c>
      <c r="Q1700" t="str">
        <f>VLOOKUP(E1700,Sales_Reps!$A:$E,3,FALSE)</f>
        <v>West</v>
      </c>
      <c r="R1700" t="str">
        <f>VLOOKUP(E1700,Sales_Reps!$A:$E,2,FALSE)</f>
        <v>Arun Iyer</v>
      </c>
      <c r="S1700">
        <f t="shared" si="26"/>
        <v>0.28492753623188405</v>
      </c>
    </row>
    <row r="1701" spans="1:19" x14ac:dyDescent="0.3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  <c r="L1701" t="str">
        <f>VLOOKUP(D1701,Products!$A:$F,3,FALSE)</f>
        <v>Grocery</v>
      </c>
      <c r="M1701" t="b">
        <f>VLOOKUP(D1701,Products!$A:$F,6,FALSE)</f>
        <v>1</v>
      </c>
      <c r="N1701">
        <f>VLOOKUP(D1701,Products!$A:$F,4,FALSE)</f>
        <v>1010</v>
      </c>
      <c r="O1701" t="str">
        <f>VLOOKUP(C1701,Customers!$A:$F,5,FALSE)</f>
        <v>Retail</v>
      </c>
      <c r="P1701">
        <f>VLOOKUP(C1701,Customers!$A:$F,3,FALSE)</f>
        <v>36</v>
      </c>
      <c r="Q1701" t="str">
        <f>VLOOKUP(E1701,Sales_Reps!$A:$E,3,FALSE)</f>
        <v>North</v>
      </c>
      <c r="R1701" t="str">
        <f>VLOOKUP(E1701,Sales_Reps!$A:$E,2,FALSE)</f>
        <v>Priya Singh</v>
      </c>
      <c r="S1701">
        <f t="shared" si="26"/>
        <v>0.54298642533936647</v>
      </c>
    </row>
    <row r="1702" spans="1:19" x14ac:dyDescent="0.3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  <c r="L1702" t="str">
        <f>VLOOKUP(D1702,Products!$A:$F,3,FALSE)</f>
        <v>Apparel</v>
      </c>
      <c r="M1702" t="b">
        <f>VLOOKUP(D1702,Products!$A:$F,6,FALSE)</f>
        <v>1</v>
      </c>
      <c r="N1702">
        <f>VLOOKUP(D1702,Products!$A:$F,4,FALSE)</f>
        <v>1173</v>
      </c>
      <c r="O1702" t="str">
        <f>VLOOKUP(C1702,Customers!$A:$F,5,FALSE)</f>
        <v>Corporate</v>
      </c>
      <c r="P1702">
        <f>VLOOKUP(C1702,Customers!$A:$F,3,FALSE)</f>
        <v>42</v>
      </c>
      <c r="Q1702" t="str">
        <f>VLOOKUP(E1702,Sales_Reps!$A:$E,3,FALSE)</f>
        <v>West</v>
      </c>
      <c r="R1702" t="str">
        <f>VLOOKUP(E1702,Sales_Reps!$A:$E,2,FALSE)</f>
        <v>Ramesh Bhatt</v>
      </c>
      <c r="S1702">
        <f t="shared" si="26"/>
        <v>0.52701612903225803</v>
      </c>
    </row>
    <row r="1703" spans="1:19" x14ac:dyDescent="0.3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  <c r="L1703" t="str">
        <f>VLOOKUP(D1703,Products!$A:$F,3,FALSE)</f>
        <v>Home</v>
      </c>
      <c r="M1703" t="b">
        <f>VLOOKUP(D1703,Products!$A:$F,6,FALSE)</f>
        <v>1</v>
      </c>
      <c r="N1703">
        <f>VLOOKUP(D1703,Products!$A:$F,4,FALSE)</f>
        <v>1556</v>
      </c>
      <c r="O1703" t="str">
        <f>VLOOKUP(C1703,Customers!$A:$F,5,FALSE)</f>
        <v>Retail</v>
      </c>
      <c r="P1703">
        <f>VLOOKUP(C1703,Customers!$A:$F,3,FALSE)</f>
        <v>39</v>
      </c>
      <c r="Q1703" t="str">
        <f>VLOOKUP(E1703,Sales_Reps!$A:$E,3,FALSE)</f>
        <v>East</v>
      </c>
      <c r="R1703" t="str">
        <f>VLOOKUP(E1703,Sales_Reps!$A:$E,2,FALSE)</f>
        <v>Prakash Shah</v>
      </c>
      <c r="S1703">
        <f t="shared" si="26"/>
        <v>0.52123076923076928</v>
      </c>
    </row>
    <row r="1704" spans="1:19" x14ac:dyDescent="0.3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  <c r="L1704" t="str">
        <f>VLOOKUP(D1704,Products!$A:$F,3,FALSE)</f>
        <v>Sports</v>
      </c>
      <c r="M1704" t="b">
        <f>VLOOKUP(D1704,Products!$A:$F,6,FALSE)</f>
        <v>1</v>
      </c>
      <c r="N1704">
        <f>VLOOKUP(D1704,Products!$A:$F,4,FALSE)</f>
        <v>974</v>
      </c>
      <c r="O1704" t="str">
        <f>VLOOKUP(C1704,Customers!$A:$F,5,FALSE)</f>
        <v>Retail</v>
      </c>
      <c r="P1704">
        <f>VLOOKUP(C1704,Customers!$A:$F,3,FALSE)</f>
        <v>37</v>
      </c>
      <c r="Q1704" t="str">
        <f>VLOOKUP(E1704,Sales_Reps!$A:$E,3,FALSE)</f>
        <v>North</v>
      </c>
      <c r="R1704" t="str">
        <f>VLOOKUP(E1704,Sales_Reps!$A:$E,2,FALSE)</f>
        <v>Kavita Patel</v>
      </c>
      <c r="S1704">
        <f t="shared" si="26"/>
        <v>0.59416666666666662</v>
      </c>
    </row>
    <row r="1705" spans="1:19" x14ac:dyDescent="0.3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  <c r="L1705" t="str">
        <f>VLOOKUP(D1705,Products!$A:$F,3,FALSE)</f>
        <v>Sports</v>
      </c>
      <c r="M1705" t="b">
        <f>VLOOKUP(D1705,Products!$A:$F,6,FALSE)</f>
        <v>1</v>
      </c>
      <c r="N1705">
        <f>VLOOKUP(D1705,Products!$A:$F,4,FALSE)</f>
        <v>2265</v>
      </c>
      <c r="O1705" t="str">
        <f>VLOOKUP(C1705,Customers!$A:$F,5,FALSE)</f>
        <v>Retail</v>
      </c>
      <c r="P1705">
        <f>VLOOKUP(C1705,Customers!$A:$F,3,FALSE)</f>
        <v>35</v>
      </c>
      <c r="Q1705" t="str">
        <f>VLOOKUP(E1705,Sales_Reps!$A:$E,3,FALSE)</f>
        <v>North</v>
      </c>
      <c r="R1705" t="str">
        <f>VLOOKUP(E1705,Sales_Reps!$A:$E,2,FALSE)</f>
        <v>Neha Desai</v>
      </c>
      <c r="S1705">
        <f t="shared" si="26"/>
        <v>0.58133086876155271</v>
      </c>
    </row>
    <row r="1706" spans="1:19" x14ac:dyDescent="0.3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  <c r="L1706" t="str">
        <f>VLOOKUP(D1706,Products!$A:$F,3,FALSE)</f>
        <v>Electronics</v>
      </c>
      <c r="M1706" t="b">
        <f>VLOOKUP(D1706,Products!$A:$F,6,FALSE)</f>
        <v>1</v>
      </c>
      <c r="N1706">
        <f>VLOOKUP(D1706,Products!$A:$F,4,FALSE)</f>
        <v>1052</v>
      </c>
      <c r="O1706" t="str">
        <f>VLOOKUP(C1706,Customers!$A:$F,5,FALSE)</f>
        <v>Retail</v>
      </c>
      <c r="P1706">
        <f>VLOOKUP(C1706,Customers!$A:$F,3,FALSE)</f>
        <v>52</v>
      </c>
      <c r="Q1706" t="str">
        <f>VLOOKUP(E1706,Sales_Reps!$A:$E,3,FALSE)</f>
        <v>East</v>
      </c>
      <c r="R1706" t="str">
        <f>VLOOKUP(E1706,Sales_Reps!$A:$E,2,FALSE)</f>
        <v>Shalini Patel</v>
      </c>
      <c r="S1706">
        <f t="shared" si="26"/>
        <v>0.5953846153846154</v>
      </c>
    </row>
    <row r="1707" spans="1:19" x14ac:dyDescent="0.3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  <c r="L1707" t="str">
        <f>VLOOKUP(D1707,Products!$A:$F,3,FALSE)</f>
        <v>Grocery</v>
      </c>
      <c r="M1707" t="b">
        <f>VLOOKUP(D1707,Products!$A:$F,6,FALSE)</f>
        <v>1</v>
      </c>
      <c r="N1707">
        <f>VLOOKUP(D1707,Products!$A:$F,4,FALSE)</f>
        <v>2911</v>
      </c>
      <c r="O1707" t="str">
        <f>VLOOKUP(C1707,Customers!$A:$F,5,FALSE)</f>
        <v>Retail</v>
      </c>
      <c r="P1707">
        <f>VLOOKUP(C1707,Customers!$A:$F,3,FALSE)</f>
        <v>25</v>
      </c>
      <c r="Q1707" t="str">
        <f>VLOOKUP(E1707,Sales_Reps!$A:$E,3,FALSE)</f>
        <v>North</v>
      </c>
      <c r="R1707" t="str">
        <f>VLOOKUP(E1707,Sales_Reps!$A:$E,2,FALSE)</f>
        <v>Amit Singh</v>
      </c>
      <c r="S1707">
        <f t="shared" si="26"/>
        <v>0.28300492610837441</v>
      </c>
    </row>
    <row r="1708" spans="1:19" x14ac:dyDescent="0.3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  <c r="L1708" t="str">
        <f>VLOOKUP(D1708,Products!$A:$F,3,FALSE)</f>
        <v>Electronics</v>
      </c>
      <c r="M1708" t="b">
        <f>VLOOKUP(D1708,Products!$A:$F,6,FALSE)</f>
        <v>1</v>
      </c>
      <c r="N1708">
        <f>VLOOKUP(D1708,Products!$A:$F,4,FALSE)</f>
        <v>2405</v>
      </c>
      <c r="O1708" t="str">
        <f>VLOOKUP(C1708,Customers!$A:$F,5,FALSE)</f>
        <v>Retail</v>
      </c>
      <c r="P1708">
        <f>VLOOKUP(C1708,Customers!$A:$F,3,FALSE)</f>
        <v>56</v>
      </c>
      <c r="Q1708" t="str">
        <f>VLOOKUP(E1708,Sales_Reps!$A:$E,3,FALSE)</f>
        <v>East</v>
      </c>
      <c r="R1708" t="str">
        <f>VLOOKUP(E1708,Sales_Reps!$A:$E,2,FALSE)</f>
        <v>Meera Iyer</v>
      </c>
      <c r="S1708">
        <f t="shared" si="26"/>
        <v>0.54878048780487809</v>
      </c>
    </row>
    <row r="1709" spans="1:19" x14ac:dyDescent="0.3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  <c r="L1709" t="str">
        <f>VLOOKUP(D1709,Products!$A:$F,3,FALSE)</f>
        <v>Beauty</v>
      </c>
      <c r="M1709" t="b">
        <f>VLOOKUP(D1709,Products!$A:$F,6,FALSE)</f>
        <v>1</v>
      </c>
      <c r="N1709">
        <f>VLOOKUP(D1709,Products!$A:$F,4,FALSE)</f>
        <v>1728</v>
      </c>
      <c r="O1709" t="str">
        <f>VLOOKUP(C1709,Customers!$A:$F,5,FALSE)</f>
        <v>Retail</v>
      </c>
      <c r="P1709">
        <f>VLOOKUP(C1709,Customers!$A:$F,3,FALSE)</f>
        <v>29</v>
      </c>
      <c r="Q1709" t="str">
        <f>VLOOKUP(E1709,Sales_Reps!$A:$E,3,FALSE)</f>
        <v>West</v>
      </c>
      <c r="R1709" t="str">
        <f>VLOOKUP(E1709,Sales_Reps!$A:$E,2,FALSE)</f>
        <v>Ashok Reddy</v>
      </c>
      <c r="S1709">
        <f t="shared" si="26"/>
        <v>0.48417910447761192</v>
      </c>
    </row>
    <row r="1710" spans="1:19" x14ac:dyDescent="0.3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  <c r="L1710" t="str">
        <f>VLOOKUP(D1710,Products!$A:$F,3,FALSE)</f>
        <v>Apparel</v>
      </c>
      <c r="M1710" t="b">
        <f>VLOOKUP(D1710,Products!$A:$F,6,FALSE)</f>
        <v>0</v>
      </c>
      <c r="N1710">
        <f>VLOOKUP(D1710,Products!$A:$F,4,FALSE)</f>
        <v>1075</v>
      </c>
      <c r="O1710" t="str">
        <f>VLOOKUP(C1710,Customers!$A:$F,5,FALSE)</f>
        <v>SMB</v>
      </c>
      <c r="P1710">
        <f>VLOOKUP(C1710,Customers!$A:$F,3,FALSE)</f>
        <v>61</v>
      </c>
      <c r="Q1710" t="str">
        <f>VLOOKUP(E1710,Sales_Reps!$A:$E,3,FALSE)</f>
        <v>South</v>
      </c>
      <c r="R1710" t="str">
        <f>VLOOKUP(E1710,Sales_Reps!$A:$E,2,FALSE)</f>
        <v>Ritu Menon</v>
      </c>
      <c r="S1710">
        <f t="shared" si="26"/>
        <v>0.57171314741035861</v>
      </c>
    </row>
    <row r="1711" spans="1:19" x14ac:dyDescent="0.3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  <c r="L1711" t="str">
        <f>VLOOKUP(D1711,Products!$A:$F,3,FALSE)</f>
        <v>Beauty</v>
      </c>
      <c r="M1711" t="b">
        <f>VLOOKUP(D1711,Products!$A:$F,6,FALSE)</f>
        <v>1</v>
      </c>
      <c r="N1711">
        <f>VLOOKUP(D1711,Products!$A:$F,4,FALSE)</f>
        <v>1626</v>
      </c>
      <c r="O1711" t="str">
        <f>VLOOKUP(C1711,Customers!$A:$F,5,FALSE)</f>
        <v>SMB</v>
      </c>
      <c r="P1711">
        <f>VLOOKUP(C1711,Customers!$A:$F,3,FALSE)</f>
        <v>44</v>
      </c>
      <c r="Q1711" t="str">
        <f>VLOOKUP(E1711,Sales_Reps!$A:$E,3,FALSE)</f>
        <v>East</v>
      </c>
      <c r="R1711" t="str">
        <f>VLOOKUP(E1711,Sales_Reps!$A:$E,2,FALSE)</f>
        <v>Gaurav Desai</v>
      </c>
      <c r="S1711">
        <f t="shared" si="26"/>
        <v>0.46158940397350995</v>
      </c>
    </row>
    <row r="1712" spans="1:19" x14ac:dyDescent="0.3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  <c r="L1712" t="str">
        <f>VLOOKUP(D1712,Products!$A:$F,3,FALSE)</f>
        <v>Apparel</v>
      </c>
      <c r="M1712" t="b">
        <f>VLOOKUP(D1712,Products!$A:$F,6,FALSE)</f>
        <v>1</v>
      </c>
      <c r="N1712">
        <f>VLOOKUP(D1712,Products!$A:$F,4,FALSE)</f>
        <v>391</v>
      </c>
      <c r="O1712" t="str">
        <f>VLOOKUP(C1712,Customers!$A:$F,5,FALSE)</f>
        <v>Retail</v>
      </c>
      <c r="P1712">
        <f>VLOOKUP(C1712,Customers!$A:$F,3,FALSE)</f>
        <v>40</v>
      </c>
      <c r="Q1712" t="str">
        <f>VLOOKUP(E1712,Sales_Reps!$A:$E,3,FALSE)</f>
        <v>West</v>
      </c>
      <c r="R1712" t="str">
        <f>VLOOKUP(E1712,Sales_Reps!$A:$E,2,FALSE)</f>
        <v>Arun Iyer</v>
      </c>
      <c r="S1712">
        <f t="shared" si="26"/>
        <v>0.52317073170731709</v>
      </c>
    </row>
    <row r="1713" spans="1:19" x14ac:dyDescent="0.3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  <c r="L1713" t="str">
        <f>VLOOKUP(D1713,Products!$A:$F,3,FALSE)</f>
        <v>Apparel</v>
      </c>
      <c r="M1713" t="b">
        <f>VLOOKUP(D1713,Products!$A:$F,6,FALSE)</f>
        <v>1</v>
      </c>
      <c r="N1713">
        <f>VLOOKUP(D1713,Products!$A:$F,4,FALSE)</f>
        <v>1886</v>
      </c>
      <c r="O1713" t="str">
        <f>VLOOKUP(C1713,Customers!$A:$F,5,FALSE)</f>
        <v>Retail</v>
      </c>
      <c r="P1713">
        <f>VLOOKUP(C1713,Customers!$A:$F,3,FALSE)</f>
        <v>47</v>
      </c>
      <c r="Q1713" t="str">
        <f>VLOOKUP(E1713,Sales_Reps!$A:$E,3,FALSE)</f>
        <v>West</v>
      </c>
      <c r="R1713" t="str">
        <f>VLOOKUP(E1713,Sales_Reps!$A:$E,2,FALSE)</f>
        <v>Ramesh Bhatt</v>
      </c>
      <c r="S1713">
        <f t="shared" si="26"/>
        <v>0.4031645569620253</v>
      </c>
    </row>
    <row r="1714" spans="1:19" x14ac:dyDescent="0.3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  <c r="L1714" t="str">
        <f>VLOOKUP(D1714,Products!$A:$F,3,FALSE)</f>
        <v>Grocery</v>
      </c>
      <c r="M1714" t="b">
        <f>VLOOKUP(D1714,Products!$A:$F,6,FALSE)</f>
        <v>0</v>
      </c>
      <c r="N1714">
        <f>VLOOKUP(D1714,Products!$A:$F,4,FALSE)</f>
        <v>2214</v>
      </c>
      <c r="O1714" t="str">
        <f>VLOOKUP(C1714,Customers!$A:$F,5,FALSE)</f>
        <v>SMB</v>
      </c>
      <c r="P1714">
        <f>VLOOKUP(C1714,Customers!$A:$F,3,FALSE)</f>
        <v>55</v>
      </c>
      <c r="Q1714" t="str">
        <f>VLOOKUP(E1714,Sales_Reps!$A:$E,3,FALSE)</f>
        <v>South</v>
      </c>
      <c r="R1714" t="str">
        <f>VLOOKUP(E1714,Sales_Reps!$A:$E,2,FALSE)</f>
        <v>Pooja Nair</v>
      </c>
      <c r="S1714">
        <f t="shared" si="26"/>
        <v>0.39508196721311473</v>
      </c>
    </row>
    <row r="1715" spans="1:19" x14ac:dyDescent="0.3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  <c r="L1715" t="str">
        <f>VLOOKUP(D1715,Products!$A:$F,3,FALSE)</f>
        <v>Apparel</v>
      </c>
      <c r="M1715" t="b">
        <f>VLOOKUP(D1715,Products!$A:$F,6,FALSE)</f>
        <v>1</v>
      </c>
      <c r="N1715">
        <f>VLOOKUP(D1715,Products!$A:$F,4,FALSE)</f>
        <v>391</v>
      </c>
      <c r="O1715" t="str">
        <f>VLOOKUP(C1715,Customers!$A:$F,5,FALSE)</f>
        <v>Retail</v>
      </c>
      <c r="P1715">
        <f>VLOOKUP(C1715,Customers!$A:$F,3,FALSE)</f>
        <v>52</v>
      </c>
      <c r="Q1715" t="str">
        <f>VLOOKUP(E1715,Sales_Reps!$A:$E,3,FALSE)</f>
        <v>West</v>
      </c>
      <c r="R1715" t="str">
        <f>VLOOKUP(E1715,Sales_Reps!$A:$E,2,FALSE)</f>
        <v>Sonia Malhotra</v>
      </c>
      <c r="S1715">
        <f t="shared" si="26"/>
        <v>0.52317073170731709</v>
      </c>
    </row>
    <row r="1716" spans="1:19" x14ac:dyDescent="0.3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  <c r="L1716" t="str">
        <f>VLOOKUP(D1716,Products!$A:$F,3,FALSE)</f>
        <v>Grocery</v>
      </c>
      <c r="M1716" t="b">
        <f>VLOOKUP(D1716,Products!$A:$F,6,FALSE)</f>
        <v>1</v>
      </c>
      <c r="N1716">
        <f>VLOOKUP(D1716,Products!$A:$F,4,FALSE)</f>
        <v>1182</v>
      </c>
      <c r="O1716" t="str">
        <f>VLOOKUP(C1716,Customers!$A:$F,5,FALSE)</f>
        <v>Retail</v>
      </c>
      <c r="P1716">
        <f>VLOOKUP(C1716,Customers!$A:$F,3,FALSE)</f>
        <v>53</v>
      </c>
      <c r="Q1716" t="str">
        <f>VLOOKUP(E1716,Sales_Reps!$A:$E,3,FALSE)</f>
        <v>East</v>
      </c>
      <c r="R1716" t="str">
        <f>VLOOKUP(E1716,Sales_Reps!$A:$E,2,FALSE)</f>
        <v>Nisha Menon</v>
      </c>
      <c r="S1716">
        <f t="shared" si="26"/>
        <v>0.50336134453781511</v>
      </c>
    </row>
    <row r="1717" spans="1:19" x14ac:dyDescent="0.3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  <c r="L1717" t="str">
        <f>VLOOKUP(D1717,Products!$A:$F,3,FALSE)</f>
        <v>Electronics</v>
      </c>
      <c r="M1717" t="b">
        <f>VLOOKUP(D1717,Products!$A:$F,6,FALSE)</f>
        <v>1</v>
      </c>
      <c r="N1717">
        <f>VLOOKUP(D1717,Products!$A:$F,4,FALSE)</f>
        <v>1559</v>
      </c>
      <c r="O1717" t="str">
        <f>VLOOKUP(C1717,Customers!$A:$F,5,FALSE)</f>
        <v>SMB</v>
      </c>
      <c r="P1717">
        <f>VLOOKUP(C1717,Customers!$A:$F,3,FALSE)</f>
        <v>43</v>
      </c>
      <c r="Q1717" t="str">
        <f>VLOOKUP(E1717,Sales_Reps!$A:$E,3,FALSE)</f>
        <v>South</v>
      </c>
      <c r="R1717" t="str">
        <f>VLOOKUP(E1717,Sales_Reps!$A:$E,2,FALSE)</f>
        <v>Sanjay Kapoor</v>
      </c>
      <c r="S1717">
        <f t="shared" si="26"/>
        <v>0.59715762273901807</v>
      </c>
    </row>
    <row r="1718" spans="1:19" x14ac:dyDescent="0.3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  <c r="L1718" t="str">
        <f>VLOOKUP(D1718,Products!$A:$F,3,FALSE)</f>
        <v>Electronics</v>
      </c>
      <c r="M1718" t="b">
        <f>VLOOKUP(D1718,Products!$A:$F,6,FALSE)</f>
        <v>1</v>
      </c>
      <c r="N1718">
        <f>VLOOKUP(D1718,Products!$A:$F,4,FALSE)</f>
        <v>128</v>
      </c>
      <c r="O1718" t="str">
        <f>VLOOKUP(C1718,Customers!$A:$F,5,FALSE)</f>
        <v>Corporate</v>
      </c>
      <c r="P1718">
        <f>VLOOKUP(C1718,Customers!$A:$F,3,FALSE)</f>
        <v>41</v>
      </c>
      <c r="Q1718" t="str">
        <f>VLOOKUP(E1718,Sales_Reps!$A:$E,3,FALSE)</f>
        <v>North</v>
      </c>
      <c r="R1718" t="str">
        <f>VLOOKUP(E1718,Sales_Reps!$A:$E,2,FALSE)</f>
        <v>Suresh Menon</v>
      </c>
      <c r="S1718">
        <f t="shared" si="26"/>
        <v>0.57333333333333336</v>
      </c>
    </row>
    <row r="1719" spans="1:19" x14ac:dyDescent="0.3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  <c r="L1719" t="str">
        <f>VLOOKUP(D1719,Products!$A:$F,3,FALSE)</f>
        <v>Beauty</v>
      </c>
      <c r="M1719" t="b">
        <f>VLOOKUP(D1719,Products!$A:$F,6,FALSE)</f>
        <v>1</v>
      </c>
      <c r="N1719">
        <f>VLOOKUP(D1719,Products!$A:$F,4,FALSE)</f>
        <v>2237</v>
      </c>
      <c r="O1719" t="str">
        <f>VLOOKUP(C1719,Customers!$A:$F,5,FALSE)</f>
        <v>Retail</v>
      </c>
      <c r="P1719">
        <f>VLOOKUP(C1719,Customers!$A:$F,3,FALSE)</f>
        <v>46</v>
      </c>
      <c r="Q1719" t="str">
        <f>VLOOKUP(E1719,Sales_Reps!$A:$E,3,FALSE)</f>
        <v>West</v>
      </c>
      <c r="R1719" t="str">
        <f>VLOOKUP(E1719,Sales_Reps!$A:$E,2,FALSE)</f>
        <v>Ramesh Bhatt</v>
      </c>
      <c r="S1719">
        <f t="shared" si="26"/>
        <v>0.56137254901960787</v>
      </c>
    </row>
    <row r="1720" spans="1:19" x14ac:dyDescent="0.3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  <c r="L1720" t="str">
        <f>VLOOKUP(D1720,Products!$A:$F,3,FALSE)</f>
        <v>Grocery</v>
      </c>
      <c r="M1720" t="b">
        <f>VLOOKUP(D1720,Products!$A:$F,6,FALSE)</f>
        <v>1</v>
      </c>
      <c r="N1720">
        <f>VLOOKUP(D1720,Products!$A:$F,4,FALSE)</f>
        <v>1435</v>
      </c>
      <c r="O1720" t="str">
        <f>VLOOKUP(C1720,Customers!$A:$F,5,FALSE)</f>
        <v>Retail</v>
      </c>
      <c r="P1720">
        <f>VLOOKUP(C1720,Customers!$A:$F,3,FALSE)</f>
        <v>37</v>
      </c>
      <c r="Q1720" t="str">
        <f>VLOOKUP(E1720,Sales_Reps!$A:$E,3,FALSE)</f>
        <v>South</v>
      </c>
      <c r="R1720" t="str">
        <f>VLOOKUP(E1720,Sales_Reps!$A:$E,2,FALSE)</f>
        <v>Sanjay Kapoor</v>
      </c>
      <c r="S1720">
        <f t="shared" si="26"/>
        <v>0.48007246376811596</v>
      </c>
    </row>
    <row r="1721" spans="1:19" x14ac:dyDescent="0.3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  <c r="L1721" t="str">
        <f>VLOOKUP(D1721,Products!$A:$F,3,FALSE)</f>
        <v>Electronics</v>
      </c>
      <c r="M1721" t="b">
        <f>VLOOKUP(D1721,Products!$A:$F,6,FALSE)</f>
        <v>1</v>
      </c>
      <c r="N1721">
        <f>VLOOKUP(D1721,Products!$A:$F,4,FALSE)</f>
        <v>2405</v>
      </c>
      <c r="O1721" t="str">
        <f>VLOOKUP(C1721,Customers!$A:$F,5,FALSE)</f>
        <v>SMB</v>
      </c>
      <c r="P1721">
        <f>VLOOKUP(C1721,Customers!$A:$F,3,FALSE)</f>
        <v>65</v>
      </c>
      <c r="Q1721" t="str">
        <f>VLOOKUP(E1721,Sales_Reps!$A:$E,3,FALSE)</f>
        <v>North</v>
      </c>
      <c r="R1721" t="str">
        <f>VLOOKUP(E1721,Sales_Reps!$A:$E,2,FALSE)</f>
        <v>Sunita Malhotra</v>
      </c>
      <c r="S1721">
        <f t="shared" si="26"/>
        <v>0.54878048780487809</v>
      </c>
    </row>
    <row r="1722" spans="1:19" x14ac:dyDescent="0.3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  <c r="L1722" t="str">
        <f>VLOOKUP(D1722,Products!$A:$F,3,FALSE)</f>
        <v>Sports</v>
      </c>
      <c r="M1722" t="b">
        <f>VLOOKUP(D1722,Products!$A:$F,6,FALSE)</f>
        <v>1</v>
      </c>
      <c r="N1722">
        <f>VLOOKUP(D1722,Products!$A:$F,4,FALSE)</f>
        <v>516</v>
      </c>
      <c r="O1722" t="str">
        <f>VLOOKUP(C1722,Customers!$A:$F,5,FALSE)</f>
        <v>Corporate</v>
      </c>
      <c r="P1722">
        <f>VLOOKUP(C1722,Customers!$A:$F,3,FALSE)</f>
        <v>41</v>
      </c>
      <c r="Q1722" t="str">
        <f>VLOOKUP(E1722,Sales_Reps!$A:$E,3,FALSE)</f>
        <v>South</v>
      </c>
      <c r="R1722" t="str">
        <f>VLOOKUP(E1722,Sales_Reps!$A:$E,2,FALSE)</f>
        <v>Anjali Chopra</v>
      </c>
      <c r="S1722">
        <f t="shared" si="26"/>
        <v>0.4891089108910891</v>
      </c>
    </row>
    <row r="1723" spans="1:19" x14ac:dyDescent="0.3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  <c r="L1723" t="str">
        <f>VLOOKUP(D1723,Products!$A:$F,3,FALSE)</f>
        <v>Electronics</v>
      </c>
      <c r="M1723" t="b">
        <f>VLOOKUP(D1723,Products!$A:$F,6,FALSE)</f>
        <v>0</v>
      </c>
      <c r="N1723">
        <f>VLOOKUP(D1723,Products!$A:$F,4,FALSE)</f>
        <v>1259</v>
      </c>
      <c r="O1723" t="str">
        <f>VLOOKUP(C1723,Customers!$A:$F,5,FALSE)</f>
        <v>Retail</v>
      </c>
      <c r="P1723">
        <f>VLOOKUP(C1723,Customers!$A:$F,3,FALSE)</f>
        <v>36</v>
      </c>
      <c r="Q1723" t="str">
        <f>VLOOKUP(E1723,Sales_Reps!$A:$E,3,FALSE)</f>
        <v>East</v>
      </c>
      <c r="R1723" t="str">
        <f>VLOOKUP(E1723,Sales_Reps!$A:$E,2,FALSE)</f>
        <v>Prakash Shah</v>
      </c>
      <c r="S1723">
        <f t="shared" si="26"/>
        <v>0.52669172932330832</v>
      </c>
    </row>
    <row r="1724" spans="1:19" x14ac:dyDescent="0.3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  <c r="L1724" t="str">
        <f>VLOOKUP(D1724,Products!$A:$F,3,FALSE)</f>
        <v>Electronics</v>
      </c>
      <c r="M1724" t="b">
        <f>VLOOKUP(D1724,Products!$A:$F,6,FALSE)</f>
        <v>1</v>
      </c>
      <c r="N1724">
        <f>VLOOKUP(D1724,Products!$A:$F,4,FALSE)</f>
        <v>2865</v>
      </c>
      <c r="O1724" t="str">
        <f>VLOOKUP(C1724,Customers!$A:$F,5,FALSE)</f>
        <v>Retail</v>
      </c>
      <c r="P1724">
        <f>VLOOKUP(C1724,Customers!$A:$F,3,FALSE)</f>
        <v>34</v>
      </c>
      <c r="Q1724" t="str">
        <f>VLOOKUP(E1724,Sales_Reps!$A:$E,3,FALSE)</f>
        <v>South</v>
      </c>
      <c r="R1724" t="str">
        <f>VLOOKUP(E1724,Sales_Reps!$A:$E,2,FALSE)</f>
        <v>Anil Verma</v>
      </c>
      <c r="S1724">
        <f t="shared" si="26"/>
        <v>0.27833753148614609</v>
      </c>
    </row>
    <row r="1725" spans="1:19" x14ac:dyDescent="0.3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  <c r="L1725" t="str">
        <f>VLOOKUP(D1725,Products!$A:$F,3,FALSE)</f>
        <v>Apparel</v>
      </c>
      <c r="M1725" t="b">
        <f>VLOOKUP(D1725,Products!$A:$F,6,FALSE)</f>
        <v>1</v>
      </c>
      <c r="N1725">
        <f>VLOOKUP(D1725,Products!$A:$F,4,FALSE)</f>
        <v>2509</v>
      </c>
      <c r="O1725" t="str">
        <f>VLOOKUP(C1725,Customers!$A:$F,5,FALSE)</f>
        <v>SMB</v>
      </c>
      <c r="P1725">
        <f>VLOOKUP(C1725,Customers!$A:$F,3,FALSE)</f>
        <v>43</v>
      </c>
      <c r="Q1725" t="str">
        <f>VLOOKUP(E1725,Sales_Reps!$A:$E,3,FALSE)</f>
        <v>North</v>
      </c>
      <c r="R1725" t="str">
        <f>VLOOKUP(E1725,Sales_Reps!$A:$E,2,FALSE)</f>
        <v>Kavita Patel</v>
      </c>
      <c r="S1725">
        <f t="shared" si="26"/>
        <v>0.3069060773480663</v>
      </c>
    </row>
    <row r="1726" spans="1:19" x14ac:dyDescent="0.3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  <c r="L1726" t="str">
        <f>VLOOKUP(D1726,Products!$A:$F,3,FALSE)</f>
        <v>Grocery</v>
      </c>
      <c r="M1726" t="b">
        <f>VLOOKUP(D1726,Products!$A:$F,6,FALSE)</f>
        <v>1</v>
      </c>
      <c r="N1726">
        <f>VLOOKUP(D1726,Products!$A:$F,4,FALSE)</f>
        <v>1412</v>
      </c>
      <c r="O1726" t="str">
        <f>VLOOKUP(C1726,Customers!$A:$F,5,FALSE)</f>
        <v>Retail</v>
      </c>
      <c r="P1726">
        <f>VLOOKUP(C1726,Customers!$A:$F,3,FALSE)</f>
        <v>38</v>
      </c>
      <c r="Q1726" t="str">
        <f>VLOOKUP(E1726,Sales_Reps!$A:$E,3,FALSE)</f>
        <v>East</v>
      </c>
      <c r="R1726" t="str">
        <f>VLOOKUP(E1726,Sales_Reps!$A:$E,2,FALSE)</f>
        <v>Shalini Patel</v>
      </c>
      <c r="S1726">
        <f t="shared" si="26"/>
        <v>0.37797356828193834</v>
      </c>
    </row>
    <row r="1727" spans="1:19" x14ac:dyDescent="0.3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  <c r="L1727" t="str">
        <f>VLOOKUP(D1727,Products!$A:$F,3,FALSE)</f>
        <v>Grocery</v>
      </c>
      <c r="M1727" t="b">
        <f>VLOOKUP(D1727,Products!$A:$F,6,FALSE)</f>
        <v>1</v>
      </c>
      <c r="N1727">
        <f>VLOOKUP(D1727,Products!$A:$F,4,FALSE)</f>
        <v>1412</v>
      </c>
      <c r="O1727" t="str">
        <f>VLOOKUP(C1727,Customers!$A:$F,5,FALSE)</f>
        <v>Retail</v>
      </c>
      <c r="P1727">
        <f>VLOOKUP(C1727,Customers!$A:$F,3,FALSE)</f>
        <v>34</v>
      </c>
      <c r="Q1727" t="str">
        <f>VLOOKUP(E1727,Sales_Reps!$A:$E,3,FALSE)</f>
        <v>South</v>
      </c>
      <c r="R1727" t="str">
        <f>VLOOKUP(E1727,Sales_Reps!$A:$E,2,FALSE)</f>
        <v>Ritu Menon</v>
      </c>
      <c r="S1727">
        <f t="shared" si="26"/>
        <v>0.37797356828193834</v>
      </c>
    </row>
    <row r="1728" spans="1:19" x14ac:dyDescent="0.3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  <c r="L1728" t="str">
        <f>VLOOKUP(D1728,Products!$A:$F,3,FALSE)</f>
        <v>Home</v>
      </c>
      <c r="M1728" t="b">
        <f>VLOOKUP(D1728,Products!$A:$F,6,FALSE)</f>
        <v>1</v>
      </c>
      <c r="N1728">
        <f>VLOOKUP(D1728,Products!$A:$F,4,FALSE)</f>
        <v>1850</v>
      </c>
      <c r="O1728" t="str">
        <f>VLOOKUP(C1728,Customers!$A:$F,5,FALSE)</f>
        <v>Retail</v>
      </c>
      <c r="P1728">
        <f>VLOOKUP(C1728,Customers!$A:$F,3,FALSE)</f>
        <v>41</v>
      </c>
      <c r="Q1728" t="str">
        <f>VLOOKUP(E1728,Sales_Reps!$A:$E,3,FALSE)</f>
        <v>South</v>
      </c>
      <c r="R1728" t="str">
        <f>VLOOKUP(E1728,Sales_Reps!$A:$E,2,FALSE)</f>
        <v>Pooja Nair</v>
      </c>
      <c r="S1728">
        <f t="shared" si="26"/>
        <v>0.59869848156182215</v>
      </c>
    </row>
    <row r="1729" spans="1:19" x14ac:dyDescent="0.3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  <c r="L1729" t="str">
        <f>VLOOKUP(D1729,Products!$A:$F,3,FALSE)</f>
        <v>Sports</v>
      </c>
      <c r="M1729" t="b">
        <f>VLOOKUP(D1729,Products!$A:$F,6,FALSE)</f>
        <v>1</v>
      </c>
      <c r="N1729">
        <f>VLOOKUP(D1729,Products!$A:$F,4,FALSE)</f>
        <v>147</v>
      </c>
      <c r="O1729" t="str">
        <f>VLOOKUP(C1729,Customers!$A:$F,5,FALSE)</f>
        <v>Retail</v>
      </c>
      <c r="P1729">
        <f>VLOOKUP(C1729,Customers!$A:$F,3,FALSE)</f>
        <v>41</v>
      </c>
      <c r="Q1729" t="str">
        <f>VLOOKUP(E1729,Sales_Reps!$A:$E,3,FALSE)</f>
        <v>East</v>
      </c>
      <c r="R1729" t="str">
        <f>VLOOKUP(E1729,Sales_Reps!$A:$E,2,FALSE)</f>
        <v>Meera Iyer</v>
      </c>
      <c r="S1729">
        <f t="shared" si="26"/>
        <v>0.22631578947368422</v>
      </c>
    </row>
    <row r="1730" spans="1:19" x14ac:dyDescent="0.3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  <c r="L1730" t="str">
        <f>VLOOKUP(D1730,Products!$A:$F,3,FALSE)</f>
        <v>Home</v>
      </c>
      <c r="M1730" t="b">
        <f>VLOOKUP(D1730,Products!$A:$F,6,FALSE)</f>
        <v>1</v>
      </c>
      <c r="N1730">
        <f>VLOOKUP(D1730,Products!$A:$F,4,FALSE)</f>
        <v>1143</v>
      </c>
      <c r="O1730" t="str">
        <f>VLOOKUP(C1730,Customers!$A:$F,5,FALSE)</f>
        <v>Corporate</v>
      </c>
      <c r="P1730">
        <f>VLOOKUP(C1730,Customers!$A:$F,3,FALSE)</f>
        <v>52</v>
      </c>
      <c r="Q1730" t="str">
        <f>VLOOKUP(E1730,Sales_Reps!$A:$E,3,FALSE)</f>
        <v>West</v>
      </c>
      <c r="R1730" t="str">
        <f>VLOOKUP(E1730,Sales_Reps!$A:$E,2,FALSE)</f>
        <v>Sonia Malhotra</v>
      </c>
      <c r="S1730">
        <f t="shared" si="26"/>
        <v>0.43694581280788175</v>
      </c>
    </row>
    <row r="1731" spans="1:19" x14ac:dyDescent="0.3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  <c r="L1731" t="str">
        <f>VLOOKUP(D1731,Products!$A:$F,3,FALSE)</f>
        <v>Grocery</v>
      </c>
      <c r="M1731" t="b">
        <f>VLOOKUP(D1731,Products!$A:$F,6,FALSE)</f>
        <v>1</v>
      </c>
      <c r="N1731">
        <f>VLOOKUP(D1731,Products!$A:$F,4,FALSE)</f>
        <v>2027</v>
      </c>
      <c r="O1731" t="str">
        <f>VLOOKUP(C1731,Customers!$A:$F,5,FALSE)</f>
        <v>SMB</v>
      </c>
      <c r="P1731">
        <f>VLOOKUP(C1731,Customers!$A:$F,3,FALSE)</f>
        <v>30</v>
      </c>
      <c r="Q1731" t="str">
        <f>VLOOKUP(E1731,Sales_Reps!$A:$E,3,FALSE)</f>
        <v>East</v>
      </c>
      <c r="R1731" t="str">
        <f>VLOOKUP(E1731,Sales_Reps!$A:$E,2,FALSE)</f>
        <v>Meera Iyer</v>
      </c>
      <c r="S1731">
        <f t="shared" ref="S1731:S1794" si="27">IFERROR((G1731-N1731)/G1731,"")</f>
        <v>0.50196560196560192</v>
      </c>
    </row>
    <row r="1732" spans="1:19" x14ac:dyDescent="0.3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  <c r="L1732" t="str">
        <f>VLOOKUP(D1732,Products!$A:$F,3,FALSE)</f>
        <v>Beauty</v>
      </c>
      <c r="M1732" t="b">
        <f>VLOOKUP(D1732,Products!$A:$F,6,FALSE)</f>
        <v>1</v>
      </c>
      <c r="N1732">
        <f>VLOOKUP(D1732,Products!$A:$F,4,FALSE)</f>
        <v>1219</v>
      </c>
      <c r="O1732" t="str">
        <f>VLOOKUP(C1732,Customers!$A:$F,5,FALSE)</f>
        <v>SMB</v>
      </c>
      <c r="P1732">
        <f>VLOOKUP(C1732,Customers!$A:$F,3,FALSE)</f>
        <v>48</v>
      </c>
      <c r="Q1732" t="str">
        <f>VLOOKUP(E1732,Sales_Reps!$A:$E,3,FALSE)</f>
        <v>North</v>
      </c>
      <c r="R1732" t="str">
        <f>VLOOKUP(E1732,Sales_Reps!$A:$E,2,FALSE)</f>
        <v>Rajesh Malhotra</v>
      </c>
      <c r="S1732">
        <f t="shared" si="27"/>
        <v>0.46768558951965067</v>
      </c>
    </row>
    <row r="1733" spans="1:19" x14ac:dyDescent="0.3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  <c r="L1733" t="str">
        <f>VLOOKUP(D1733,Products!$A:$F,3,FALSE)</f>
        <v>Home</v>
      </c>
      <c r="M1733" t="b">
        <f>VLOOKUP(D1733,Products!$A:$F,6,FALSE)</f>
        <v>1</v>
      </c>
      <c r="N1733">
        <f>VLOOKUP(D1733,Products!$A:$F,4,FALSE)</f>
        <v>2135</v>
      </c>
      <c r="O1733" t="str">
        <f>VLOOKUP(C1733,Customers!$A:$F,5,FALSE)</f>
        <v>Retail</v>
      </c>
      <c r="P1733">
        <f>VLOOKUP(C1733,Customers!$A:$F,3,FALSE)</f>
        <v>22</v>
      </c>
      <c r="Q1733" t="str">
        <f>VLOOKUP(E1733,Sales_Reps!$A:$E,3,FALSE)</f>
        <v>East</v>
      </c>
      <c r="R1733" t="str">
        <f>VLOOKUP(E1733,Sales_Reps!$A:$E,2,FALSE)</f>
        <v>Meera Iyer</v>
      </c>
      <c r="S1733">
        <f t="shared" si="27"/>
        <v>0.42761394101876676</v>
      </c>
    </row>
    <row r="1734" spans="1:19" x14ac:dyDescent="0.3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  <c r="L1734" t="str">
        <f>VLOOKUP(D1734,Products!$A:$F,3,FALSE)</f>
        <v>Apparel</v>
      </c>
      <c r="M1734" t="b">
        <f>VLOOKUP(D1734,Products!$A:$F,6,FALSE)</f>
        <v>1</v>
      </c>
      <c r="N1734">
        <f>VLOOKUP(D1734,Products!$A:$F,4,FALSE)</f>
        <v>396</v>
      </c>
      <c r="O1734" t="str">
        <f>VLOOKUP(C1734,Customers!$A:$F,5,FALSE)</f>
        <v>Retail</v>
      </c>
      <c r="P1734">
        <f>VLOOKUP(C1734,Customers!$A:$F,3,FALSE)</f>
        <v>22</v>
      </c>
      <c r="Q1734" t="str">
        <f>VLOOKUP(E1734,Sales_Reps!$A:$E,3,FALSE)</f>
        <v>North</v>
      </c>
      <c r="R1734" t="str">
        <f>VLOOKUP(E1734,Sales_Reps!$A:$E,2,FALSE)</f>
        <v>Vikram Patel</v>
      </c>
      <c r="S1734">
        <f t="shared" si="27"/>
        <v>0.36129032258064514</v>
      </c>
    </row>
    <row r="1735" spans="1:19" x14ac:dyDescent="0.3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  <c r="L1735" t="str">
        <f>VLOOKUP(D1735,Products!$A:$F,3,FALSE)</f>
        <v>Electronics</v>
      </c>
      <c r="M1735" t="b">
        <f>VLOOKUP(D1735,Products!$A:$F,6,FALSE)</f>
        <v>1</v>
      </c>
      <c r="N1735">
        <f>VLOOKUP(D1735,Products!$A:$F,4,FALSE)</f>
        <v>1149</v>
      </c>
      <c r="O1735" t="str">
        <f>VLOOKUP(C1735,Customers!$A:$F,5,FALSE)</f>
        <v>Corporate</v>
      </c>
      <c r="P1735">
        <f>VLOOKUP(C1735,Customers!$A:$F,3,FALSE)</f>
        <v>27</v>
      </c>
      <c r="Q1735" t="str">
        <f>VLOOKUP(E1735,Sales_Reps!$A:$E,3,FALSE)</f>
        <v>South</v>
      </c>
      <c r="R1735" t="str">
        <f>VLOOKUP(E1735,Sales_Reps!$A:$E,2,FALSE)</f>
        <v>Divya Rao</v>
      </c>
      <c r="S1735">
        <f t="shared" si="27"/>
        <v>0.56477272727272732</v>
      </c>
    </row>
    <row r="1736" spans="1:19" x14ac:dyDescent="0.3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  <c r="L1736" t="str">
        <f>VLOOKUP(D1736,Products!$A:$F,3,FALSE)</f>
        <v>Grocery</v>
      </c>
      <c r="M1736" t="b">
        <f>VLOOKUP(D1736,Products!$A:$F,6,FALSE)</f>
        <v>0</v>
      </c>
      <c r="N1736">
        <f>VLOOKUP(D1736,Products!$A:$F,4,FALSE)</f>
        <v>2214</v>
      </c>
      <c r="O1736" t="str">
        <f>VLOOKUP(C1736,Customers!$A:$F,5,FALSE)</f>
        <v>SMB</v>
      </c>
      <c r="P1736">
        <f>VLOOKUP(C1736,Customers!$A:$F,3,FALSE)</f>
        <v>57</v>
      </c>
      <c r="Q1736" t="str">
        <f>VLOOKUP(E1736,Sales_Reps!$A:$E,3,FALSE)</f>
        <v>North</v>
      </c>
      <c r="R1736" t="str">
        <f>VLOOKUP(E1736,Sales_Reps!$A:$E,2,FALSE)</f>
        <v>Priya Singh</v>
      </c>
      <c r="S1736">
        <f t="shared" si="27"/>
        <v>0.39508196721311473</v>
      </c>
    </row>
    <row r="1737" spans="1:19" x14ac:dyDescent="0.3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  <c r="L1737" t="str">
        <f>VLOOKUP(D1737,Products!$A:$F,3,FALSE)</f>
        <v>Apparel</v>
      </c>
      <c r="M1737" t="b">
        <f>VLOOKUP(D1737,Products!$A:$F,6,FALSE)</f>
        <v>1</v>
      </c>
      <c r="N1737">
        <f>VLOOKUP(D1737,Products!$A:$F,4,FALSE)</f>
        <v>391</v>
      </c>
      <c r="O1737" t="str">
        <f>VLOOKUP(C1737,Customers!$A:$F,5,FALSE)</f>
        <v>Retail</v>
      </c>
      <c r="P1737">
        <f>VLOOKUP(C1737,Customers!$A:$F,3,FALSE)</f>
        <v>50</v>
      </c>
      <c r="Q1737" t="str">
        <f>VLOOKUP(E1737,Sales_Reps!$A:$E,3,FALSE)</f>
        <v>East</v>
      </c>
      <c r="R1737" t="str">
        <f>VLOOKUP(E1737,Sales_Reps!$A:$E,2,FALSE)</f>
        <v>Meera Iyer</v>
      </c>
      <c r="S1737">
        <f t="shared" si="27"/>
        <v>0.52317073170731709</v>
      </c>
    </row>
    <row r="1738" spans="1:19" x14ac:dyDescent="0.3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  <c r="L1738" t="str">
        <f>VLOOKUP(D1738,Products!$A:$F,3,FALSE)</f>
        <v>Apparel</v>
      </c>
      <c r="M1738" t="b">
        <f>VLOOKUP(D1738,Products!$A:$F,6,FALSE)</f>
        <v>1</v>
      </c>
      <c r="N1738">
        <f>VLOOKUP(D1738,Products!$A:$F,4,FALSE)</f>
        <v>1173</v>
      </c>
      <c r="O1738" t="str">
        <f>VLOOKUP(C1738,Customers!$A:$F,5,FALSE)</f>
        <v>Retail</v>
      </c>
      <c r="P1738">
        <f>VLOOKUP(C1738,Customers!$A:$F,3,FALSE)</f>
        <v>29</v>
      </c>
      <c r="Q1738" t="str">
        <f>VLOOKUP(E1738,Sales_Reps!$A:$E,3,FALSE)</f>
        <v>East</v>
      </c>
      <c r="R1738" t="str">
        <f>VLOOKUP(E1738,Sales_Reps!$A:$E,2,FALSE)</f>
        <v>Gaurav Desai</v>
      </c>
      <c r="S1738">
        <f t="shared" si="27"/>
        <v>0.52701612903225803</v>
      </c>
    </row>
    <row r="1739" spans="1:19" x14ac:dyDescent="0.3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  <c r="L1739" t="str">
        <f>VLOOKUP(D1739,Products!$A:$F,3,FALSE)</f>
        <v>Beauty</v>
      </c>
      <c r="M1739" t="b">
        <f>VLOOKUP(D1739,Products!$A:$F,6,FALSE)</f>
        <v>1</v>
      </c>
      <c r="N1739">
        <f>VLOOKUP(D1739,Products!$A:$F,4,FALSE)</f>
        <v>2617</v>
      </c>
      <c r="O1739" t="str">
        <f>VLOOKUP(C1739,Customers!$A:$F,5,FALSE)</f>
        <v>Retail</v>
      </c>
      <c r="P1739">
        <f>VLOOKUP(C1739,Customers!$A:$F,3,FALSE)</f>
        <v>32</v>
      </c>
      <c r="Q1739" t="str">
        <f>VLOOKUP(E1739,Sales_Reps!$A:$E,3,FALSE)</f>
        <v>West</v>
      </c>
      <c r="R1739" t="str">
        <f>VLOOKUP(E1739,Sales_Reps!$A:$E,2,FALSE)</f>
        <v>Preeti Shah</v>
      </c>
      <c r="S1739">
        <f t="shared" si="27"/>
        <v>0.56957236842105263</v>
      </c>
    </row>
    <row r="1740" spans="1:19" x14ac:dyDescent="0.3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  <c r="L1740" t="str">
        <f>VLOOKUP(D1740,Products!$A:$F,3,FALSE)</f>
        <v>Sports</v>
      </c>
      <c r="M1740" t="b">
        <f>VLOOKUP(D1740,Products!$A:$F,6,FALSE)</f>
        <v>1</v>
      </c>
      <c r="N1740">
        <f>VLOOKUP(D1740,Products!$A:$F,4,FALSE)</f>
        <v>147</v>
      </c>
      <c r="O1740" t="str">
        <f>VLOOKUP(C1740,Customers!$A:$F,5,FALSE)</f>
        <v>SMB</v>
      </c>
      <c r="P1740">
        <f>VLOOKUP(C1740,Customers!$A:$F,3,FALSE)</f>
        <v>39</v>
      </c>
      <c r="Q1740" t="str">
        <f>VLOOKUP(E1740,Sales_Reps!$A:$E,3,FALSE)</f>
        <v>East</v>
      </c>
      <c r="R1740" t="str">
        <f>VLOOKUP(E1740,Sales_Reps!$A:$E,2,FALSE)</f>
        <v>Nisha Menon</v>
      </c>
      <c r="S1740">
        <f t="shared" si="27"/>
        <v>0.22631578947368422</v>
      </c>
    </row>
    <row r="1741" spans="1:19" x14ac:dyDescent="0.3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  <c r="L1741" t="str">
        <f>VLOOKUP(D1741,Products!$A:$F,3,FALSE)</f>
        <v>Sports</v>
      </c>
      <c r="M1741" t="b">
        <f>VLOOKUP(D1741,Products!$A:$F,6,FALSE)</f>
        <v>1</v>
      </c>
      <c r="N1741">
        <f>VLOOKUP(D1741,Products!$A:$F,4,FALSE)</f>
        <v>1860</v>
      </c>
      <c r="O1741" t="str">
        <f>VLOOKUP(C1741,Customers!$A:$F,5,FALSE)</f>
        <v>Retail</v>
      </c>
      <c r="P1741">
        <f>VLOOKUP(C1741,Customers!$A:$F,3,FALSE)</f>
        <v>41</v>
      </c>
      <c r="Q1741" t="str">
        <f>VLOOKUP(E1741,Sales_Reps!$A:$E,3,FALSE)</f>
        <v>West</v>
      </c>
      <c r="R1741" t="str">
        <f>VLOOKUP(E1741,Sales_Reps!$A:$E,2,FALSE)</f>
        <v>Sonia Malhotra</v>
      </c>
      <c r="S1741">
        <f t="shared" si="27"/>
        <v>0.50793650793650791</v>
      </c>
    </row>
    <row r="1742" spans="1:19" x14ac:dyDescent="0.3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  <c r="L1742" t="str">
        <f>VLOOKUP(D1742,Products!$A:$F,3,FALSE)</f>
        <v>Home</v>
      </c>
      <c r="M1742" t="b">
        <f>VLOOKUP(D1742,Products!$A:$F,6,FALSE)</f>
        <v>1</v>
      </c>
      <c r="N1742">
        <f>VLOOKUP(D1742,Products!$A:$F,4,FALSE)</f>
        <v>1556</v>
      </c>
      <c r="O1742" t="str">
        <f>VLOOKUP(C1742,Customers!$A:$F,5,FALSE)</f>
        <v>Retail</v>
      </c>
      <c r="P1742">
        <f>VLOOKUP(C1742,Customers!$A:$F,3,FALSE)</f>
        <v>34</v>
      </c>
      <c r="Q1742" t="str">
        <f>VLOOKUP(E1742,Sales_Reps!$A:$E,3,FALSE)</f>
        <v>North</v>
      </c>
      <c r="R1742" t="str">
        <f>VLOOKUP(E1742,Sales_Reps!$A:$E,2,FALSE)</f>
        <v>Rajesh Malhotra</v>
      </c>
      <c r="S1742">
        <f t="shared" si="27"/>
        <v>0.52123076923076928</v>
      </c>
    </row>
    <row r="1743" spans="1:19" x14ac:dyDescent="0.3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  <c r="L1743" t="str">
        <f>VLOOKUP(D1743,Products!$A:$F,3,FALSE)</f>
        <v>Home</v>
      </c>
      <c r="M1743" t="b">
        <f>VLOOKUP(D1743,Products!$A:$F,6,FALSE)</f>
        <v>1</v>
      </c>
      <c r="N1743">
        <f>VLOOKUP(D1743,Products!$A:$F,4,FALSE)</f>
        <v>1143</v>
      </c>
      <c r="O1743" t="str">
        <f>VLOOKUP(C1743,Customers!$A:$F,5,FALSE)</f>
        <v>SMB</v>
      </c>
      <c r="P1743">
        <f>VLOOKUP(C1743,Customers!$A:$F,3,FALSE)</f>
        <v>34</v>
      </c>
      <c r="Q1743" t="str">
        <f>VLOOKUP(E1743,Sales_Reps!$A:$E,3,FALSE)</f>
        <v>North</v>
      </c>
      <c r="R1743" t="str">
        <f>VLOOKUP(E1743,Sales_Reps!$A:$E,2,FALSE)</f>
        <v>Kavita Patel</v>
      </c>
      <c r="S1743">
        <f t="shared" si="27"/>
        <v>0.43694581280788175</v>
      </c>
    </row>
    <row r="1744" spans="1:19" x14ac:dyDescent="0.3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  <c r="L1744" t="str">
        <f>VLOOKUP(D1744,Products!$A:$F,3,FALSE)</f>
        <v>Beauty</v>
      </c>
      <c r="M1744" t="b">
        <f>VLOOKUP(D1744,Products!$A:$F,6,FALSE)</f>
        <v>1</v>
      </c>
      <c r="N1744">
        <f>VLOOKUP(D1744,Products!$A:$F,4,FALSE)</f>
        <v>2768</v>
      </c>
      <c r="O1744" t="str">
        <f>VLOOKUP(C1744,Customers!$A:$F,5,FALSE)</f>
        <v>Retail</v>
      </c>
      <c r="P1744">
        <f>VLOOKUP(C1744,Customers!$A:$F,3,FALSE)</f>
        <v>65</v>
      </c>
      <c r="Q1744" t="str">
        <f>VLOOKUP(E1744,Sales_Reps!$A:$E,3,FALSE)</f>
        <v>South</v>
      </c>
      <c r="R1744" t="str">
        <f>VLOOKUP(E1744,Sales_Reps!$A:$E,2,FALSE)</f>
        <v>Pooja Nair</v>
      </c>
      <c r="S1744">
        <f t="shared" si="27"/>
        <v>0.43278688524590164</v>
      </c>
    </row>
    <row r="1745" spans="1:19" x14ac:dyDescent="0.3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  <c r="L1745" t="str">
        <f>VLOOKUP(D1745,Products!$A:$F,3,FALSE)</f>
        <v>Beauty</v>
      </c>
      <c r="M1745" t="b">
        <f>VLOOKUP(D1745,Products!$A:$F,6,FALSE)</f>
        <v>1</v>
      </c>
      <c r="N1745">
        <f>VLOOKUP(D1745,Products!$A:$F,4,FALSE)</f>
        <v>1728</v>
      </c>
      <c r="O1745" t="str">
        <f>VLOOKUP(C1745,Customers!$A:$F,5,FALSE)</f>
        <v>SMB</v>
      </c>
      <c r="P1745">
        <f>VLOOKUP(C1745,Customers!$A:$F,3,FALSE)</f>
        <v>29</v>
      </c>
      <c r="Q1745" t="str">
        <f>VLOOKUP(E1745,Sales_Reps!$A:$E,3,FALSE)</f>
        <v>East</v>
      </c>
      <c r="R1745" t="str">
        <f>VLOOKUP(E1745,Sales_Reps!$A:$E,2,FALSE)</f>
        <v>Meera Iyer</v>
      </c>
      <c r="S1745">
        <f t="shared" si="27"/>
        <v>0.48417910447761192</v>
      </c>
    </row>
    <row r="1746" spans="1:19" x14ac:dyDescent="0.3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  <c r="L1746" t="str">
        <f>VLOOKUP(D1746,Products!$A:$F,3,FALSE)</f>
        <v>Sports</v>
      </c>
      <c r="M1746" t="b">
        <f>VLOOKUP(D1746,Products!$A:$F,6,FALSE)</f>
        <v>1</v>
      </c>
      <c r="N1746">
        <f>VLOOKUP(D1746,Products!$A:$F,4,FALSE)</f>
        <v>2028</v>
      </c>
      <c r="O1746" t="str">
        <f>VLOOKUP(C1746,Customers!$A:$F,5,FALSE)</f>
        <v>Retail</v>
      </c>
      <c r="P1746">
        <f>VLOOKUP(C1746,Customers!$A:$F,3,FALSE)</f>
        <v>59</v>
      </c>
      <c r="Q1746" t="str">
        <f>VLOOKUP(E1746,Sales_Reps!$A:$E,3,FALSE)</f>
        <v>West</v>
      </c>
      <c r="R1746" t="str">
        <f>VLOOKUP(E1746,Sales_Reps!$A:$E,2,FALSE)</f>
        <v>Arun Iyer</v>
      </c>
      <c r="S1746">
        <f t="shared" si="27"/>
        <v>0.29090909090909089</v>
      </c>
    </row>
    <row r="1747" spans="1:19" x14ac:dyDescent="0.3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  <c r="L1747" t="str">
        <f>VLOOKUP(D1747,Products!$A:$F,3,FALSE)</f>
        <v>Beauty</v>
      </c>
      <c r="M1747" t="b">
        <f>VLOOKUP(D1747,Products!$A:$F,6,FALSE)</f>
        <v>1</v>
      </c>
      <c r="N1747">
        <f>VLOOKUP(D1747,Products!$A:$F,4,FALSE)</f>
        <v>2420</v>
      </c>
      <c r="O1747" t="str">
        <f>VLOOKUP(C1747,Customers!$A:$F,5,FALSE)</f>
        <v>Retail</v>
      </c>
      <c r="P1747">
        <f>VLOOKUP(C1747,Customers!$A:$F,3,FALSE)</f>
        <v>42</v>
      </c>
      <c r="Q1747" t="str">
        <f>VLOOKUP(E1747,Sales_Reps!$A:$E,3,FALSE)</f>
        <v>East</v>
      </c>
      <c r="R1747" t="str">
        <f>VLOOKUP(E1747,Sales_Reps!$A:$E,2,FALSE)</f>
        <v>Shalini Patel</v>
      </c>
      <c r="S1747">
        <f t="shared" si="27"/>
        <v>0.29855072463768118</v>
      </c>
    </row>
    <row r="1748" spans="1:19" x14ac:dyDescent="0.3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  <c r="L1748" t="str">
        <f>VLOOKUP(D1748,Products!$A:$F,3,FALSE)</f>
        <v>Grocery</v>
      </c>
      <c r="M1748" t="b">
        <f>VLOOKUP(D1748,Products!$A:$F,6,FALSE)</f>
        <v>1</v>
      </c>
      <c r="N1748">
        <f>VLOOKUP(D1748,Products!$A:$F,4,FALSE)</f>
        <v>1203</v>
      </c>
      <c r="O1748" t="str">
        <f>VLOOKUP(C1748,Customers!$A:$F,5,FALSE)</f>
        <v>SMB</v>
      </c>
      <c r="P1748">
        <f>VLOOKUP(C1748,Customers!$A:$F,3,FALSE)</f>
        <v>44</v>
      </c>
      <c r="Q1748" t="str">
        <f>VLOOKUP(E1748,Sales_Reps!$A:$E,3,FALSE)</f>
        <v>South</v>
      </c>
      <c r="R1748" t="str">
        <f>VLOOKUP(E1748,Sales_Reps!$A:$E,2,FALSE)</f>
        <v>Deepak Shah</v>
      </c>
      <c r="S1748">
        <f t="shared" si="27"/>
        <v>0.47004405286343615</v>
      </c>
    </row>
    <row r="1749" spans="1:19" x14ac:dyDescent="0.3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  <c r="L1749" t="str">
        <f>VLOOKUP(D1749,Products!$A:$F,3,FALSE)</f>
        <v>Grocery</v>
      </c>
      <c r="M1749" t="b">
        <f>VLOOKUP(D1749,Products!$A:$F,6,FALSE)</f>
        <v>0</v>
      </c>
      <c r="N1749">
        <f>VLOOKUP(D1749,Products!$A:$F,4,FALSE)</f>
        <v>2214</v>
      </c>
      <c r="O1749" t="str">
        <f>VLOOKUP(C1749,Customers!$A:$F,5,FALSE)</f>
        <v>SMB</v>
      </c>
      <c r="P1749">
        <f>VLOOKUP(C1749,Customers!$A:$F,3,FALSE)</f>
        <v>29</v>
      </c>
      <c r="Q1749" t="str">
        <f>VLOOKUP(E1749,Sales_Reps!$A:$E,3,FALSE)</f>
        <v>North</v>
      </c>
      <c r="R1749" t="str">
        <f>VLOOKUP(E1749,Sales_Reps!$A:$E,2,FALSE)</f>
        <v>Suresh Menon</v>
      </c>
      <c r="S1749">
        <f t="shared" si="27"/>
        <v>0.39508196721311473</v>
      </c>
    </row>
    <row r="1750" spans="1:19" x14ac:dyDescent="0.3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  <c r="L1750" t="str">
        <f>VLOOKUP(D1750,Products!$A:$F,3,FALSE)</f>
        <v>Beauty</v>
      </c>
      <c r="M1750" t="b">
        <f>VLOOKUP(D1750,Products!$A:$F,6,FALSE)</f>
        <v>1</v>
      </c>
      <c r="N1750">
        <f>VLOOKUP(D1750,Products!$A:$F,4,FALSE)</f>
        <v>1626</v>
      </c>
      <c r="O1750" t="str">
        <f>VLOOKUP(C1750,Customers!$A:$F,5,FALSE)</f>
        <v>Retail</v>
      </c>
      <c r="P1750">
        <f>VLOOKUP(C1750,Customers!$A:$F,3,FALSE)</f>
        <v>53</v>
      </c>
      <c r="Q1750" t="str">
        <f>VLOOKUP(E1750,Sales_Reps!$A:$E,3,FALSE)</f>
        <v>North</v>
      </c>
      <c r="R1750" t="str">
        <f>VLOOKUP(E1750,Sales_Reps!$A:$E,2,FALSE)</f>
        <v>Kavita Patel</v>
      </c>
      <c r="S1750">
        <f t="shared" si="27"/>
        <v>0.46158940397350995</v>
      </c>
    </row>
    <row r="1751" spans="1:19" x14ac:dyDescent="0.3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  <c r="L1751" t="str">
        <f>VLOOKUP(D1751,Products!$A:$F,3,FALSE)</f>
        <v>Home</v>
      </c>
      <c r="M1751" t="b">
        <f>VLOOKUP(D1751,Products!$A:$F,6,FALSE)</f>
        <v>1</v>
      </c>
      <c r="N1751">
        <f>VLOOKUP(D1751,Products!$A:$F,4,FALSE)</f>
        <v>519</v>
      </c>
      <c r="O1751" t="str">
        <f>VLOOKUP(C1751,Customers!$A:$F,5,FALSE)</f>
        <v>Retail</v>
      </c>
      <c r="P1751">
        <f>VLOOKUP(C1751,Customers!$A:$F,3,FALSE)</f>
        <v>54</v>
      </c>
      <c r="Q1751" t="str">
        <f>VLOOKUP(E1751,Sales_Reps!$A:$E,3,FALSE)</f>
        <v>South</v>
      </c>
      <c r="R1751" t="str">
        <f>VLOOKUP(E1751,Sales_Reps!$A:$E,2,FALSE)</f>
        <v>Ritu Menon</v>
      </c>
      <c r="S1751">
        <f t="shared" si="27"/>
        <v>0.51944444444444449</v>
      </c>
    </row>
    <row r="1752" spans="1:19" x14ac:dyDescent="0.3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  <c r="L1752" t="str">
        <f>VLOOKUP(D1752,Products!$A:$F,3,FALSE)</f>
        <v>Grocery</v>
      </c>
      <c r="M1752" t="b">
        <f>VLOOKUP(D1752,Products!$A:$F,6,FALSE)</f>
        <v>1</v>
      </c>
      <c r="N1752">
        <f>VLOOKUP(D1752,Products!$A:$F,4,FALSE)</f>
        <v>1412</v>
      </c>
      <c r="O1752" t="str">
        <f>VLOOKUP(C1752,Customers!$A:$F,5,FALSE)</f>
        <v>SMB</v>
      </c>
      <c r="P1752">
        <f>VLOOKUP(C1752,Customers!$A:$F,3,FALSE)</f>
        <v>61</v>
      </c>
      <c r="Q1752" t="str">
        <f>VLOOKUP(E1752,Sales_Reps!$A:$E,3,FALSE)</f>
        <v>South</v>
      </c>
      <c r="R1752" t="str">
        <f>VLOOKUP(E1752,Sales_Reps!$A:$E,2,FALSE)</f>
        <v>Pooja Nair</v>
      </c>
      <c r="S1752">
        <f t="shared" si="27"/>
        <v>0.37797356828193834</v>
      </c>
    </row>
    <row r="1753" spans="1:19" x14ac:dyDescent="0.3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  <c r="L1753" t="str">
        <f>VLOOKUP(D1753,Products!$A:$F,3,FALSE)</f>
        <v>Apparel</v>
      </c>
      <c r="M1753" t="b">
        <f>VLOOKUP(D1753,Products!$A:$F,6,FALSE)</f>
        <v>1</v>
      </c>
      <c r="N1753">
        <f>VLOOKUP(D1753,Products!$A:$F,4,FALSE)</f>
        <v>396</v>
      </c>
      <c r="O1753" t="str">
        <f>VLOOKUP(C1753,Customers!$A:$F,5,FALSE)</f>
        <v>SMB</v>
      </c>
      <c r="P1753">
        <f>VLOOKUP(C1753,Customers!$A:$F,3,FALSE)</f>
        <v>54</v>
      </c>
      <c r="Q1753" t="str">
        <f>VLOOKUP(E1753,Sales_Reps!$A:$E,3,FALSE)</f>
        <v>South</v>
      </c>
      <c r="R1753" t="str">
        <f>VLOOKUP(E1753,Sales_Reps!$A:$E,2,FALSE)</f>
        <v>Pooja Nair</v>
      </c>
      <c r="S1753">
        <f t="shared" si="27"/>
        <v>0.36129032258064514</v>
      </c>
    </row>
    <row r="1754" spans="1:19" x14ac:dyDescent="0.3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  <c r="L1754" t="str">
        <f>VLOOKUP(D1754,Products!$A:$F,3,FALSE)</f>
        <v>Grocery</v>
      </c>
      <c r="M1754" t="b">
        <f>VLOOKUP(D1754,Products!$A:$F,6,FALSE)</f>
        <v>1</v>
      </c>
      <c r="N1754">
        <f>VLOOKUP(D1754,Products!$A:$F,4,FALSE)</f>
        <v>2911</v>
      </c>
      <c r="O1754" t="str">
        <f>VLOOKUP(C1754,Customers!$A:$F,5,FALSE)</f>
        <v>Retail</v>
      </c>
      <c r="P1754">
        <f>VLOOKUP(C1754,Customers!$A:$F,3,FALSE)</f>
        <v>52</v>
      </c>
      <c r="Q1754" t="str">
        <f>VLOOKUP(E1754,Sales_Reps!$A:$E,3,FALSE)</f>
        <v>South</v>
      </c>
      <c r="R1754" t="str">
        <f>VLOOKUP(E1754,Sales_Reps!$A:$E,2,FALSE)</f>
        <v>Deepak Shah</v>
      </c>
      <c r="S1754">
        <f t="shared" si="27"/>
        <v>0.28300492610837441</v>
      </c>
    </row>
    <row r="1755" spans="1:19" x14ac:dyDescent="0.3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  <c r="L1755" t="str">
        <f>VLOOKUP(D1755,Products!$A:$F,3,FALSE)</f>
        <v>Grocery</v>
      </c>
      <c r="M1755" t="b">
        <f>VLOOKUP(D1755,Products!$A:$F,6,FALSE)</f>
        <v>1</v>
      </c>
      <c r="N1755">
        <f>VLOOKUP(D1755,Products!$A:$F,4,FALSE)</f>
        <v>2436</v>
      </c>
      <c r="O1755" t="str">
        <f>VLOOKUP(C1755,Customers!$A:$F,5,FALSE)</f>
        <v>Corporate</v>
      </c>
      <c r="P1755">
        <f>VLOOKUP(C1755,Customers!$A:$F,3,FALSE)</f>
        <v>29</v>
      </c>
      <c r="Q1755" t="str">
        <f>VLOOKUP(E1755,Sales_Reps!$A:$E,3,FALSE)</f>
        <v>South</v>
      </c>
      <c r="R1755" t="str">
        <f>VLOOKUP(E1755,Sales_Reps!$A:$E,2,FALSE)</f>
        <v>Pooja Nair</v>
      </c>
      <c r="S1755">
        <f t="shared" si="27"/>
        <v>0.35555555555555557</v>
      </c>
    </row>
    <row r="1756" spans="1:19" x14ac:dyDescent="0.3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  <c r="L1756" t="str">
        <f>VLOOKUP(D1756,Products!$A:$F,3,FALSE)</f>
        <v>Grocery</v>
      </c>
      <c r="M1756" t="b">
        <f>VLOOKUP(D1756,Products!$A:$F,6,FALSE)</f>
        <v>1</v>
      </c>
      <c r="N1756">
        <f>VLOOKUP(D1756,Products!$A:$F,4,FALSE)</f>
        <v>1182</v>
      </c>
      <c r="O1756" t="str">
        <f>VLOOKUP(C1756,Customers!$A:$F,5,FALSE)</f>
        <v>SMB</v>
      </c>
      <c r="P1756">
        <f>VLOOKUP(C1756,Customers!$A:$F,3,FALSE)</f>
        <v>55</v>
      </c>
      <c r="Q1756" t="str">
        <f>VLOOKUP(E1756,Sales_Reps!$A:$E,3,FALSE)</f>
        <v>East</v>
      </c>
      <c r="R1756" t="str">
        <f>VLOOKUP(E1756,Sales_Reps!$A:$E,2,FALSE)</f>
        <v>Nisha Menon</v>
      </c>
      <c r="S1756">
        <f t="shared" si="27"/>
        <v>0.50336134453781511</v>
      </c>
    </row>
    <row r="1757" spans="1:19" x14ac:dyDescent="0.3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  <c r="L1757" t="str">
        <f>VLOOKUP(D1757,Products!$A:$F,3,FALSE)</f>
        <v>Grocery</v>
      </c>
      <c r="M1757" t="b">
        <f>VLOOKUP(D1757,Products!$A:$F,6,FALSE)</f>
        <v>1</v>
      </c>
      <c r="N1757">
        <f>VLOOKUP(D1757,Products!$A:$F,4,FALSE)</f>
        <v>2027</v>
      </c>
      <c r="O1757" t="str">
        <f>VLOOKUP(C1757,Customers!$A:$F,5,FALSE)</f>
        <v>Retail</v>
      </c>
      <c r="P1757">
        <f>VLOOKUP(C1757,Customers!$A:$F,3,FALSE)</f>
        <v>38</v>
      </c>
      <c r="Q1757" t="str">
        <f>VLOOKUP(E1757,Sales_Reps!$A:$E,3,FALSE)</f>
        <v>West</v>
      </c>
      <c r="R1757" t="str">
        <f>VLOOKUP(E1757,Sales_Reps!$A:$E,2,FALSE)</f>
        <v>Rekha Chopra</v>
      </c>
      <c r="S1757">
        <f t="shared" si="27"/>
        <v>0.50196560196560192</v>
      </c>
    </row>
    <row r="1758" spans="1:19" x14ac:dyDescent="0.3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  <c r="L1758" t="str">
        <f>VLOOKUP(D1758,Products!$A:$F,3,FALSE)</f>
        <v>Electronics</v>
      </c>
      <c r="M1758" t="b">
        <f>VLOOKUP(D1758,Products!$A:$F,6,FALSE)</f>
        <v>1</v>
      </c>
      <c r="N1758">
        <f>VLOOKUP(D1758,Products!$A:$F,4,FALSE)</f>
        <v>1149</v>
      </c>
      <c r="O1758" t="str">
        <f>VLOOKUP(C1758,Customers!$A:$F,5,FALSE)</f>
        <v>Retail</v>
      </c>
      <c r="P1758">
        <f>VLOOKUP(C1758,Customers!$A:$F,3,FALSE)</f>
        <v>29</v>
      </c>
      <c r="Q1758" t="str">
        <f>VLOOKUP(E1758,Sales_Reps!$A:$E,3,FALSE)</f>
        <v>East</v>
      </c>
      <c r="R1758" t="str">
        <f>VLOOKUP(E1758,Sales_Reps!$A:$E,2,FALSE)</f>
        <v>Meera Iyer</v>
      </c>
      <c r="S1758">
        <f t="shared" si="27"/>
        <v>0.56477272727272732</v>
      </c>
    </row>
    <row r="1759" spans="1:19" x14ac:dyDescent="0.3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  <c r="L1759" t="str">
        <f>VLOOKUP(D1759,Products!$A:$F,3,FALSE)</f>
        <v>Sports</v>
      </c>
      <c r="M1759" t="b">
        <f>VLOOKUP(D1759,Products!$A:$F,6,FALSE)</f>
        <v>1</v>
      </c>
      <c r="N1759">
        <f>VLOOKUP(D1759,Products!$A:$F,4,FALSE)</f>
        <v>1860</v>
      </c>
      <c r="O1759" t="str">
        <f>VLOOKUP(C1759,Customers!$A:$F,5,FALSE)</f>
        <v>Retail</v>
      </c>
      <c r="P1759">
        <f>VLOOKUP(C1759,Customers!$A:$F,3,FALSE)</f>
        <v>31</v>
      </c>
      <c r="Q1759" t="str">
        <f>VLOOKUP(E1759,Sales_Reps!$A:$E,3,FALSE)</f>
        <v>West</v>
      </c>
      <c r="R1759" t="str">
        <f>VLOOKUP(E1759,Sales_Reps!$A:$E,2,FALSE)</f>
        <v>Kiran Bhatt</v>
      </c>
      <c r="S1759">
        <f t="shared" si="27"/>
        <v>0.50793650793650791</v>
      </c>
    </row>
    <row r="1760" spans="1:19" x14ac:dyDescent="0.3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  <c r="L1760" t="str">
        <f>VLOOKUP(D1760,Products!$A:$F,3,FALSE)</f>
        <v>Beauty</v>
      </c>
      <c r="M1760" t="b">
        <f>VLOOKUP(D1760,Products!$A:$F,6,FALSE)</f>
        <v>1</v>
      </c>
      <c r="N1760">
        <f>VLOOKUP(D1760,Products!$A:$F,4,FALSE)</f>
        <v>1728</v>
      </c>
      <c r="O1760" t="str">
        <f>VLOOKUP(C1760,Customers!$A:$F,5,FALSE)</f>
        <v>Corporate</v>
      </c>
      <c r="P1760">
        <f>VLOOKUP(C1760,Customers!$A:$F,3,FALSE)</f>
        <v>62</v>
      </c>
      <c r="Q1760" t="str">
        <f>VLOOKUP(E1760,Sales_Reps!$A:$E,3,FALSE)</f>
        <v>South</v>
      </c>
      <c r="R1760" t="str">
        <f>VLOOKUP(E1760,Sales_Reps!$A:$E,2,FALSE)</f>
        <v>Manoj Patel</v>
      </c>
      <c r="S1760">
        <f t="shared" si="27"/>
        <v>0.48417910447761192</v>
      </c>
    </row>
    <row r="1761" spans="1:19" x14ac:dyDescent="0.3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  <c r="L1761" t="str">
        <f>VLOOKUP(D1761,Products!$A:$F,3,FALSE)</f>
        <v>Apparel</v>
      </c>
      <c r="M1761" t="b">
        <f>VLOOKUP(D1761,Products!$A:$F,6,FALSE)</f>
        <v>1</v>
      </c>
      <c r="N1761">
        <f>VLOOKUP(D1761,Products!$A:$F,4,FALSE)</f>
        <v>1886</v>
      </c>
      <c r="O1761" t="str">
        <f>VLOOKUP(C1761,Customers!$A:$F,5,FALSE)</f>
        <v>SMB</v>
      </c>
      <c r="P1761">
        <f>VLOOKUP(C1761,Customers!$A:$F,3,FALSE)</f>
        <v>35</v>
      </c>
      <c r="Q1761" t="str">
        <f>VLOOKUP(E1761,Sales_Reps!$A:$E,3,FALSE)</f>
        <v>West</v>
      </c>
      <c r="R1761" t="str">
        <f>VLOOKUP(E1761,Sales_Reps!$A:$E,2,FALSE)</f>
        <v>Rekha Chopra</v>
      </c>
      <c r="S1761">
        <f t="shared" si="27"/>
        <v>0.4031645569620253</v>
      </c>
    </row>
    <row r="1762" spans="1:19" x14ac:dyDescent="0.3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  <c r="L1762" t="str">
        <f>VLOOKUP(D1762,Products!$A:$F,3,FALSE)</f>
        <v>Sports</v>
      </c>
      <c r="M1762" t="b">
        <f>VLOOKUP(D1762,Products!$A:$F,6,FALSE)</f>
        <v>1</v>
      </c>
      <c r="N1762">
        <f>VLOOKUP(D1762,Products!$A:$F,4,FALSE)</f>
        <v>2028</v>
      </c>
      <c r="O1762" t="str">
        <f>VLOOKUP(C1762,Customers!$A:$F,5,FALSE)</f>
        <v>SMB</v>
      </c>
      <c r="P1762">
        <f>VLOOKUP(C1762,Customers!$A:$F,3,FALSE)</f>
        <v>36</v>
      </c>
      <c r="Q1762" t="str">
        <f>VLOOKUP(E1762,Sales_Reps!$A:$E,3,FALSE)</f>
        <v>North</v>
      </c>
      <c r="R1762" t="str">
        <f>VLOOKUP(E1762,Sales_Reps!$A:$E,2,FALSE)</f>
        <v>Priya Singh</v>
      </c>
      <c r="S1762">
        <f t="shared" si="27"/>
        <v>0.29090909090909089</v>
      </c>
    </row>
    <row r="1763" spans="1:19" x14ac:dyDescent="0.3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  <c r="L1763" t="str">
        <f>VLOOKUP(D1763,Products!$A:$F,3,FALSE)</f>
        <v>Electronics</v>
      </c>
      <c r="M1763" t="b">
        <f>VLOOKUP(D1763,Products!$A:$F,6,FALSE)</f>
        <v>1</v>
      </c>
      <c r="N1763">
        <f>VLOOKUP(D1763,Products!$A:$F,4,FALSE)</f>
        <v>128</v>
      </c>
      <c r="O1763" t="str">
        <f>VLOOKUP(C1763,Customers!$A:$F,5,FALSE)</f>
        <v>Corporate</v>
      </c>
      <c r="P1763">
        <f>VLOOKUP(C1763,Customers!$A:$F,3,FALSE)</f>
        <v>43</v>
      </c>
      <c r="Q1763" t="str">
        <f>VLOOKUP(E1763,Sales_Reps!$A:$E,3,FALSE)</f>
        <v>South</v>
      </c>
      <c r="R1763" t="str">
        <f>VLOOKUP(E1763,Sales_Reps!$A:$E,2,FALSE)</f>
        <v>Divya Rao</v>
      </c>
      <c r="S1763">
        <f t="shared" si="27"/>
        <v>0.57333333333333336</v>
      </c>
    </row>
    <row r="1764" spans="1:19" x14ac:dyDescent="0.3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  <c r="L1764" t="str">
        <f>VLOOKUP(D1764,Products!$A:$F,3,FALSE)</f>
        <v>Sports</v>
      </c>
      <c r="M1764" t="b">
        <f>VLOOKUP(D1764,Products!$A:$F,6,FALSE)</f>
        <v>1</v>
      </c>
      <c r="N1764">
        <f>VLOOKUP(D1764,Products!$A:$F,4,FALSE)</f>
        <v>147</v>
      </c>
      <c r="O1764" t="str">
        <f>VLOOKUP(C1764,Customers!$A:$F,5,FALSE)</f>
        <v>Corporate</v>
      </c>
      <c r="P1764">
        <f>VLOOKUP(C1764,Customers!$A:$F,3,FALSE)</f>
        <v>29</v>
      </c>
      <c r="Q1764" t="str">
        <f>VLOOKUP(E1764,Sales_Reps!$A:$E,3,FALSE)</f>
        <v>East</v>
      </c>
      <c r="R1764" t="str">
        <f>VLOOKUP(E1764,Sales_Reps!$A:$E,2,FALSE)</f>
        <v>Meera Iyer</v>
      </c>
      <c r="S1764">
        <f t="shared" si="27"/>
        <v>0.22631578947368422</v>
      </c>
    </row>
    <row r="1765" spans="1:19" x14ac:dyDescent="0.3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  <c r="L1765" t="str">
        <f>VLOOKUP(D1765,Products!$A:$F,3,FALSE)</f>
        <v>Sports</v>
      </c>
      <c r="M1765" t="b">
        <f>VLOOKUP(D1765,Products!$A:$F,6,FALSE)</f>
        <v>1</v>
      </c>
      <c r="N1765">
        <f>VLOOKUP(D1765,Products!$A:$F,4,FALSE)</f>
        <v>516</v>
      </c>
      <c r="O1765" t="str">
        <f>VLOOKUP(C1765,Customers!$A:$F,5,FALSE)</f>
        <v>Retail</v>
      </c>
      <c r="P1765">
        <f>VLOOKUP(C1765,Customers!$A:$F,3,FALSE)</f>
        <v>65</v>
      </c>
      <c r="Q1765" t="str">
        <f>VLOOKUP(E1765,Sales_Reps!$A:$E,3,FALSE)</f>
        <v>East</v>
      </c>
      <c r="R1765" t="str">
        <f>VLOOKUP(E1765,Sales_Reps!$A:$E,2,FALSE)</f>
        <v>Gaurav Desai</v>
      </c>
      <c r="S1765">
        <f t="shared" si="27"/>
        <v>0.4891089108910891</v>
      </c>
    </row>
    <row r="1766" spans="1:19" x14ac:dyDescent="0.3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  <c r="L1766" t="str">
        <f>VLOOKUP(D1766,Products!$A:$F,3,FALSE)</f>
        <v>Sports</v>
      </c>
      <c r="M1766" t="b">
        <f>VLOOKUP(D1766,Products!$A:$F,6,FALSE)</f>
        <v>1</v>
      </c>
      <c r="N1766">
        <f>VLOOKUP(D1766,Products!$A:$F,4,FALSE)</f>
        <v>2467</v>
      </c>
      <c r="O1766" t="str">
        <f>VLOOKUP(C1766,Customers!$A:$F,5,FALSE)</f>
        <v>SMB</v>
      </c>
      <c r="P1766">
        <f>VLOOKUP(C1766,Customers!$A:$F,3,FALSE)</f>
        <v>50</v>
      </c>
      <c r="Q1766" t="str">
        <f>VLOOKUP(E1766,Sales_Reps!$A:$E,3,FALSE)</f>
        <v>North</v>
      </c>
      <c r="R1766" t="str">
        <f>VLOOKUP(E1766,Sales_Reps!$A:$E,2,FALSE)</f>
        <v>Rajesh Malhotra</v>
      </c>
      <c r="S1766">
        <f t="shared" si="27"/>
        <v>0.28492753623188405</v>
      </c>
    </row>
    <row r="1767" spans="1:19" x14ac:dyDescent="0.3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  <c r="L1767" t="str">
        <f>VLOOKUP(D1767,Products!$A:$F,3,FALSE)</f>
        <v>Electronics</v>
      </c>
      <c r="M1767" t="b">
        <f>VLOOKUP(D1767,Products!$A:$F,6,FALSE)</f>
        <v>1</v>
      </c>
      <c r="N1767">
        <f>VLOOKUP(D1767,Products!$A:$F,4,FALSE)</f>
        <v>128</v>
      </c>
      <c r="O1767" t="str">
        <f>VLOOKUP(C1767,Customers!$A:$F,5,FALSE)</f>
        <v>Corporate</v>
      </c>
      <c r="P1767">
        <f>VLOOKUP(C1767,Customers!$A:$F,3,FALSE)</f>
        <v>52</v>
      </c>
      <c r="Q1767" t="str">
        <f>VLOOKUP(E1767,Sales_Reps!$A:$E,3,FALSE)</f>
        <v>North</v>
      </c>
      <c r="R1767" t="str">
        <f>VLOOKUP(E1767,Sales_Reps!$A:$E,2,FALSE)</f>
        <v>Rajesh Malhotra</v>
      </c>
      <c r="S1767">
        <f t="shared" si="27"/>
        <v>0.57333333333333336</v>
      </c>
    </row>
    <row r="1768" spans="1:19" x14ac:dyDescent="0.3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  <c r="L1768" t="str">
        <f>VLOOKUP(D1768,Products!$A:$F,3,FALSE)</f>
        <v>Home</v>
      </c>
      <c r="M1768" t="b">
        <f>VLOOKUP(D1768,Products!$A:$F,6,FALSE)</f>
        <v>1</v>
      </c>
      <c r="N1768">
        <f>VLOOKUP(D1768,Products!$A:$F,4,FALSE)</f>
        <v>2135</v>
      </c>
      <c r="O1768" t="str">
        <f>VLOOKUP(C1768,Customers!$A:$F,5,FALSE)</f>
        <v>SMB</v>
      </c>
      <c r="P1768">
        <f>VLOOKUP(C1768,Customers!$A:$F,3,FALSE)</f>
        <v>54</v>
      </c>
      <c r="Q1768" t="str">
        <f>VLOOKUP(E1768,Sales_Reps!$A:$E,3,FALSE)</f>
        <v>East</v>
      </c>
      <c r="R1768" t="str">
        <f>VLOOKUP(E1768,Sales_Reps!$A:$E,2,FALSE)</f>
        <v>Shalini Patel</v>
      </c>
      <c r="S1768">
        <f t="shared" si="27"/>
        <v>0.42761394101876676</v>
      </c>
    </row>
    <row r="1769" spans="1:19" x14ac:dyDescent="0.3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  <c r="L1769" t="str">
        <f>VLOOKUP(D1769,Products!$A:$F,3,FALSE)</f>
        <v>Sports</v>
      </c>
      <c r="M1769" t="b">
        <f>VLOOKUP(D1769,Products!$A:$F,6,FALSE)</f>
        <v>1</v>
      </c>
      <c r="N1769">
        <f>VLOOKUP(D1769,Products!$A:$F,4,FALSE)</f>
        <v>974</v>
      </c>
      <c r="O1769" t="str">
        <f>VLOOKUP(C1769,Customers!$A:$F,5,FALSE)</f>
        <v>Corporate</v>
      </c>
      <c r="P1769">
        <f>VLOOKUP(C1769,Customers!$A:$F,3,FALSE)</f>
        <v>55</v>
      </c>
      <c r="Q1769" t="str">
        <f>VLOOKUP(E1769,Sales_Reps!$A:$E,3,FALSE)</f>
        <v>East</v>
      </c>
      <c r="R1769" t="str">
        <f>VLOOKUP(E1769,Sales_Reps!$A:$E,2,FALSE)</f>
        <v>Meera Iyer</v>
      </c>
      <c r="S1769">
        <f t="shared" si="27"/>
        <v>0.59416666666666662</v>
      </c>
    </row>
    <row r="1770" spans="1:19" x14ac:dyDescent="0.3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  <c r="L1770" t="str">
        <f>VLOOKUP(D1770,Products!$A:$F,3,FALSE)</f>
        <v>Grocery</v>
      </c>
      <c r="M1770" t="b">
        <f>VLOOKUP(D1770,Products!$A:$F,6,FALSE)</f>
        <v>1</v>
      </c>
      <c r="N1770">
        <f>VLOOKUP(D1770,Products!$A:$F,4,FALSE)</f>
        <v>1435</v>
      </c>
      <c r="O1770" t="str">
        <f>VLOOKUP(C1770,Customers!$A:$F,5,FALSE)</f>
        <v>Retail</v>
      </c>
      <c r="P1770">
        <f>VLOOKUP(C1770,Customers!$A:$F,3,FALSE)</f>
        <v>59</v>
      </c>
      <c r="Q1770" t="str">
        <f>VLOOKUP(E1770,Sales_Reps!$A:$E,3,FALSE)</f>
        <v>North</v>
      </c>
      <c r="R1770" t="str">
        <f>VLOOKUP(E1770,Sales_Reps!$A:$E,2,FALSE)</f>
        <v>Rajesh Malhotra</v>
      </c>
      <c r="S1770">
        <f t="shared" si="27"/>
        <v>0.48007246376811596</v>
      </c>
    </row>
    <row r="1771" spans="1:19" x14ac:dyDescent="0.3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  <c r="L1771" t="str">
        <f>VLOOKUP(D1771,Products!$A:$F,3,FALSE)</f>
        <v>Sports</v>
      </c>
      <c r="M1771" t="b">
        <f>VLOOKUP(D1771,Products!$A:$F,6,FALSE)</f>
        <v>0</v>
      </c>
      <c r="N1771">
        <f>VLOOKUP(D1771,Products!$A:$F,4,FALSE)</f>
        <v>302</v>
      </c>
      <c r="O1771" t="str">
        <f>VLOOKUP(C1771,Customers!$A:$F,5,FALSE)</f>
        <v>Retail</v>
      </c>
      <c r="P1771">
        <f>VLOOKUP(C1771,Customers!$A:$F,3,FALSE)</f>
        <v>26</v>
      </c>
      <c r="Q1771" t="str">
        <f>VLOOKUP(E1771,Sales_Reps!$A:$E,3,FALSE)</f>
        <v>South</v>
      </c>
      <c r="R1771" t="str">
        <f>VLOOKUP(E1771,Sales_Reps!$A:$E,2,FALSE)</f>
        <v>Manoj Patel</v>
      </c>
      <c r="S1771">
        <f t="shared" si="27"/>
        <v>0.35744680851063831</v>
      </c>
    </row>
    <row r="1772" spans="1:19" x14ac:dyDescent="0.3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  <c r="L1772" t="str">
        <f>VLOOKUP(D1772,Products!$A:$F,3,FALSE)</f>
        <v>Sports</v>
      </c>
      <c r="M1772" t="b">
        <f>VLOOKUP(D1772,Products!$A:$F,6,FALSE)</f>
        <v>0</v>
      </c>
      <c r="N1772">
        <f>VLOOKUP(D1772,Products!$A:$F,4,FALSE)</f>
        <v>302</v>
      </c>
      <c r="O1772" t="str">
        <f>VLOOKUP(C1772,Customers!$A:$F,5,FALSE)</f>
        <v>Retail</v>
      </c>
      <c r="P1772">
        <f>VLOOKUP(C1772,Customers!$A:$F,3,FALSE)</f>
        <v>61</v>
      </c>
      <c r="Q1772" t="str">
        <f>VLOOKUP(E1772,Sales_Reps!$A:$E,3,FALSE)</f>
        <v>West</v>
      </c>
      <c r="R1772" t="str">
        <f>VLOOKUP(E1772,Sales_Reps!$A:$E,2,FALSE)</f>
        <v>Ramesh Bhatt</v>
      </c>
      <c r="S1772">
        <f t="shared" si="27"/>
        <v>0.35744680851063831</v>
      </c>
    </row>
    <row r="1773" spans="1:19" x14ac:dyDescent="0.3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  <c r="L1773" t="str">
        <f>VLOOKUP(D1773,Products!$A:$F,3,FALSE)</f>
        <v>Home</v>
      </c>
      <c r="M1773" t="b">
        <f>VLOOKUP(D1773,Products!$A:$F,6,FALSE)</f>
        <v>1</v>
      </c>
      <c r="N1773">
        <f>VLOOKUP(D1773,Products!$A:$F,4,FALSE)</f>
        <v>288</v>
      </c>
      <c r="O1773" t="str">
        <f>VLOOKUP(C1773,Customers!$A:$F,5,FALSE)</f>
        <v>Retail</v>
      </c>
      <c r="P1773">
        <f>VLOOKUP(C1773,Customers!$A:$F,3,FALSE)</f>
        <v>59</v>
      </c>
      <c r="Q1773" t="str">
        <f>VLOOKUP(E1773,Sales_Reps!$A:$E,3,FALSE)</f>
        <v>West</v>
      </c>
      <c r="R1773" t="str">
        <f>VLOOKUP(E1773,Sales_Reps!$A:$E,2,FALSE)</f>
        <v>Preeti Shah</v>
      </c>
      <c r="S1773">
        <f t="shared" si="27"/>
        <v>0.22162162162162163</v>
      </c>
    </row>
    <row r="1774" spans="1:19" x14ac:dyDescent="0.3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  <c r="L1774" t="str">
        <f>VLOOKUP(D1774,Products!$A:$F,3,FALSE)</f>
        <v>Grocery</v>
      </c>
      <c r="M1774" t="b">
        <f>VLOOKUP(D1774,Products!$A:$F,6,FALSE)</f>
        <v>1</v>
      </c>
      <c r="N1774">
        <f>VLOOKUP(D1774,Products!$A:$F,4,FALSE)</f>
        <v>1010</v>
      </c>
      <c r="O1774" t="str">
        <f>VLOOKUP(C1774,Customers!$A:$F,5,FALSE)</f>
        <v>Retail</v>
      </c>
      <c r="P1774">
        <f>VLOOKUP(C1774,Customers!$A:$F,3,FALSE)</f>
        <v>29</v>
      </c>
      <c r="Q1774" t="str">
        <f>VLOOKUP(E1774,Sales_Reps!$A:$E,3,FALSE)</f>
        <v>North</v>
      </c>
      <c r="R1774" t="str">
        <f>VLOOKUP(E1774,Sales_Reps!$A:$E,2,FALSE)</f>
        <v>Rajesh Malhotra</v>
      </c>
      <c r="S1774">
        <f t="shared" si="27"/>
        <v>0.54298642533936647</v>
      </c>
    </row>
    <row r="1775" spans="1:19" x14ac:dyDescent="0.3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  <c r="L1775" t="str">
        <f>VLOOKUP(D1775,Products!$A:$F,3,FALSE)</f>
        <v>Sports</v>
      </c>
      <c r="M1775" t="b">
        <f>VLOOKUP(D1775,Products!$A:$F,6,FALSE)</f>
        <v>1</v>
      </c>
      <c r="N1775">
        <f>VLOOKUP(D1775,Products!$A:$F,4,FALSE)</f>
        <v>2827</v>
      </c>
      <c r="O1775" t="str">
        <f>VLOOKUP(C1775,Customers!$A:$F,5,FALSE)</f>
        <v>SMB</v>
      </c>
      <c r="P1775">
        <f>VLOOKUP(C1775,Customers!$A:$F,3,FALSE)</f>
        <v>43</v>
      </c>
      <c r="Q1775" t="str">
        <f>VLOOKUP(E1775,Sales_Reps!$A:$E,3,FALSE)</f>
        <v>North</v>
      </c>
      <c r="R1775" t="str">
        <f>VLOOKUP(E1775,Sales_Reps!$A:$E,2,FALSE)</f>
        <v>Sunita Malhotra</v>
      </c>
      <c r="S1775">
        <f t="shared" si="27"/>
        <v>0.5926512968299712</v>
      </c>
    </row>
    <row r="1776" spans="1:19" x14ac:dyDescent="0.3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  <c r="L1776" t="str">
        <f>VLOOKUP(D1776,Products!$A:$F,3,FALSE)</f>
        <v>Home</v>
      </c>
      <c r="M1776" t="b">
        <f>VLOOKUP(D1776,Products!$A:$F,6,FALSE)</f>
        <v>1</v>
      </c>
      <c r="N1776">
        <f>VLOOKUP(D1776,Products!$A:$F,4,FALSE)</f>
        <v>1143</v>
      </c>
      <c r="O1776" t="str">
        <f>VLOOKUP(C1776,Customers!$A:$F,5,FALSE)</f>
        <v>Retail</v>
      </c>
      <c r="P1776">
        <f>VLOOKUP(C1776,Customers!$A:$F,3,FALSE)</f>
        <v>54</v>
      </c>
      <c r="Q1776" t="str">
        <f>VLOOKUP(E1776,Sales_Reps!$A:$E,3,FALSE)</f>
        <v>East</v>
      </c>
      <c r="R1776" t="str">
        <f>VLOOKUP(E1776,Sales_Reps!$A:$E,2,FALSE)</f>
        <v>Shalini Patel</v>
      </c>
      <c r="S1776">
        <f t="shared" si="27"/>
        <v>0.43694581280788175</v>
      </c>
    </row>
    <row r="1777" spans="1:19" x14ac:dyDescent="0.3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  <c r="L1777" t="str">
        <f>VLOOKUP(D1777,Products!$A:$F,3,FALSE)</f>
        <v>Sports</v>
      </c>
      <c r="M1777" t="b">
        <f>VLOOKUP(D1777,Products!$A:$F,6,FALSE)</f>
        <v>1</v>
      </c>
      <c r="N1777">
        <f>VLOOKUP(D1777,Products!$A:$F,4,FALSE)</f>
        <v>516</v>
      </c>
      <c r="O1777" t="str">
        <f>VLOOKUP(C1777,Customers!$A:$F,5,FALSE)</f>
        <v>Retail</v>
      </c>
      <c r="P1777">
        <f>VLOOKUP(C1777,Customers!$A:$F,3,FALSE)</f>
        <v>54</v>
      </c>
      <c r="Q1777" t="str">
        <f>VLOOKUP(E1777,Sales_Reps!$A:$E,3,FALSE)</f>
        <v>East</v>
      </c>
      <c r="R1777" t="str">
        <f>VLOOKUP(E1777,Sales_Reps!$A:$E,2,FALSE)</f>
        <v>Naveen Singh</v>
      </c>
      <c r="S1777">
        <f t="shared" si="27"/>
        <v>0.4891089108910891</v>
      </c>
    </row>
    <row r="1778" spans="1:19" x14ac:dyDescent="0.3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  <c r="L1778" t="str">
        <f>VLOOKUP(D1778,Products!$A:$F,3,FALSE)</f>
        <v>Apparel</v>
      </c>
      <c r="M1778" t="b">
        <f>VLOOKUP(D1778,Products!$A:$F,6,FALSE)</f>
        <v>0</v>
      </c>
      <c r="N1778">
        <f>VLOOKUP(D1778,Products!$A:$F,4,FALSE)</f>
        <v>1075</v>
      </c>
      <c r="O1778" t="str">
        <f>VLOOKUP(C1778,Customers!$A:$F,5,FALSE)</f>
        <v>Retail</v>
      </c>
      <c r="P1778">
        <f>VLOOKUP(C1778,Customers!$A:$F,3,FALSE)</f>
        <v>28</v>
      </c>
      <c r="Q1778" t="str">
        <f>VLOOKUP(E1778,Sales_Reps!$A:$E,3,FALSE)</f>
        <v>North</v>
      </c>
      <c r="R1778" t="str">
        <f>VLOOKUP(E1778,Sales_Reps!$A:$E,2,FALSE)</f>
        <v>Sunita Malhotra</v>
      </c>
      <c r="S1778">
        <f t="shared" si="27"/>
        <v>0.57171314741035861</v>
      </c>
    </row>
    <row r="1779" spans="1:19" x14ac:dyDescent="0.3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  <c r="L1779" t="str">
        <f>VLOOKUP(D1779,Products!$A:$F,3,FALSE)</f>
        <v>Home</v>
      </c>
      <c r="M1779" t="b">
        <f>VLOOKUP(D1779,Products!$A:$F,6,FALSE)</f>
        <v>1</v>
      </c>
      <c r="N1779">
        <f>VLOOKUP(D1779,Products!$A:$F,4,FALSE)</f>
        <v>288</v>
      </c>
      <c r="O1779" t="str">
        <f>VLOOKUP(C1779,Customers!$A:$F,5,FALSE)</f>
        <v>Retail</v>
      </c>
      <c r="P1779">
        <f>VLOOKUP(C1779,Customers!$A:$F,3,FALSE)</f>
        <v>29</v>
      </c>
      <c r="Q1779" t="str">
        <f>VLOOKUP(E1779,Sales_Reps!$A:$E,3,FALSE)</f>
        <v>North</v>
      </c>
      <c r="R1779" t="str">
        <f>VLOOKUP(E1779,Sales_Reps!$A:$E,2,FALSE)</f>
        <v>Sunita Malhotra</v>
      </c>
      <c r="S1779">
        <f t="shared" si="27"/>
        <v>0.22162162162162163</v>
      </c>
    </row>
    <row r="1780" spans="1:19" x14ac:dyDescent="0.3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  <c r="L1780" t="str">
        <f>VLOOKUP(D1780,Products!$A:$F,3,FALSE)</f>
        <v>Apparel</v>
      </c>
      <c r="M1780" t="b">
        <f>VLOOKUP(D1780,Products!$A:$F,6,FALSE)</f>
        <v>1</v>
      </c>
      <c r="N1780">
        <f>VLOOKUP(D1780,Products!$A:$F,4,FALSE)</f>
        <v>1173</v>
      </c>
      <c r="O1780" t="str">
        <f>VLOOKUP(C1780,Customers!$A:$F,5,FALSE)</f>
        <v>Retail</v>
      </c>
      <c r="P1780">
        <f>VLOOKUP(C1780,Customers!$A:$F,3,FALSE)</f>
        <v>25</v>
      </c>
      <c r="Q1780" t="str">
        <f>VLOOKUP(E1780,Sales_Reps!$A:$E,3,FALSE)</f>
        <v>East</v>
      </c>
      <c r="R1780" t="str">
        <f>VLOOKUP(E1780,Sales_Reps!$A:$E,2,FALSE)</f>
        <v>Gaurav Desai</v>
      </c>
      <c r="S1780">
        <f t="shared" si="27"/>
        <v>0.52701612903225803</v>
      </c>
    </row>
    <row r="1781" spans="1:19" x14ac:dyDescent="0.3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  <c r="L1781" t="str">
        <f>VLOOKUP(D1781,Products!$A:$F,3,FALSE)</f>
        <v>Electronics</v>
      </c>
      <c r="M1781" t="b">
        <f>VLOOKUP(D1781,Products!$A:$F,6,FALSE)</f>
        <v>1</v>
      </c>
      <c r="N1781">
        <f>VLOOKUP(D1781,Products!$A:$F,4,FALSE)</f>
        <v>1149</v>
      </c>
      <c r="O1781" t="str">
        <f>VLOOKUP(C1781,Customers!$A:$F,5,FALSE)</f>
        <v>Retail</v>
      </c>
      <c r="P1781">
        <f>VLOOKUP(C1781,Customers!$A:$F,3,FALSE)</f>
        <v>22</v>
      </c>
      <c r="Q1781" t="str">
        <f>VLOOKUP(E1781,Sales_Reps!$A:$E,3,FALSE)</f>
        <v>East</v>
      </c>
      <c r="R1781" t="str">
        <f>VLOOKUP(E1781,Sales_Reps!$A:$E,2,FALSE)</f>
        <v>Naveen Singh</v>
      </c>
      <c r="S1781">
        <f t="shared" si="27"/>
        <v>0.56477272727272732</v>
      </c>
    </row>
    <row r="1782" spans="1:19" x14ac:dyDescent="0.3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  <c r="L1782" t="str">
        <f>VLOOKUP(D1782,Products!$A:$F,3,FALSE)</f>
        <v>Home</v>
      </c>
      <c r="M1782" t="b">
        <f>VLOOKUP(D1782,Products!$A:$F,6,FALSE)</f>
        <v>1</v>
      </c>
      <c r="N1782">
        <f>VLOOKUP(D1782,Products!$A:$F,4,FALSE)</f>
        <v>464</v>
      </c>
      <c r="O1782" t="str">
        <f>VLOOKUP(C1782,Customers!$A:$F,5,FALSE)</f>
        <v>Retail</v>
      </c>
      <c r="P1782">
        <f>VLOOKUP(C1782,Customers!$A:$F,3,FALSE)</f>
        <v>26</v>
      </c>
      <c r="Q1782" t="str">
        <f>VLOOKUP(E1782,Sales_Reps!$A:$E,3,FALSE)</f>
        <v>East</v>
      </c>
      <c r="R1782" t="str">
        <f>VLOOKUP(E1782,Sales_Reps!$A:$E,2,FALSE)</f>
        <v>Meera Iyer</v>
      </c>
      <c r="S1782">
        <f t="shared" si="27"/>
        <v>0.57431192660550456</v>
      </c>
    </row>
    <row r="1783" spans="1:19" x14ac:dyDescent="0.3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  <c r="L1783" t="str">
        <f>VLOOKUP(D1783,Products!$A:$F,3,FALSE)</f>
        <v>Beauty</v>
      </c>
      <c r="M1783" t="b">
        <f>VLOOKUP(D1783,Products!$A:$F,6,FALSE)</f>
        <v>1</v>
      </c>
      <c r="N1783">
        <f>VLOOKUP(D1783,Products!$A:$F,4,FALSE)</f>
        <v>1728</v>
      </c>
      <c r="O1783" t="str">
        <f>VLOOKUP(C1783,Customers!$A:$F,5,FALSE)</f>
        <v>Retail</v>
      </c>
      <c r="P1783">
        <f>VLOOKUP(C1783,Customers!$A:$F,3,FALSE)</f>
        <v>38</v>
      </c>
      <c r="Q1783" t="str">
        <f>VLOOKUP(E1783,Sales_Reps!$A:$E,3,FALSE)</f>
        <v>North</v>
      </c>
      <c r="R1783" t="str">
        <f>VLOOKUP(E1783,Sales_Reps!$A:$E,2,FALSE)</f>
        <v>Sunita Malhotra</v>
      </c>
      <c r="S1783">
        <f t="shared" si="27"/>
        <v>0.48417910447761192</v>
      </c>
    </row>
    <row r="1784" spans="1:19" x14ac:dyDescent="0.3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  <c r="L1784" t="str">
        <f>VLOOKUP(D1784,Products!$A:$F,3,FALSE)</f>
        <v>Beauty</v>
      </c>
      <c r="M1784" t="b">
        <f>VLOOKUP(D1784,Products!$A:$F,6,FALSE)</f>
        <v>1</v>
      </c>
      <c r="N1784">
        <f>VLOOKUP(D1784,Products!$A:$F,4,FALSE)</f>
        <v>2617</v>
      </c>
      <c r="O1784" t="str">
        <f>VLOOKUP(C1784,Customers!$A:$F,5,FALSE)</f>
        <v>Retail</v>
      </c>
      <c r="P1784">
        <f>VLOOKUP(C1784,Customers!$A:$F,3,FALSE)</f>
        <v>26</v>
      </c>
      <c r="Q1784" t="str">
        <f>VLOOKUP(E1784,Sales_Reps!$A:$E,3,FALSE)</f>
        <v>South</v>
      </c>
      <c r="R1784" t="str">
        <f>VLOOKUP(E1784,Sales_Reps!$A:$E,2,FALSE)</f>
        <v>Deepak Shah</v>
      </c>
      <c r="S1784">
        <f t="shared" si="27"/>
        <v>0.56957236842105263</v>
      </c>
    </row>
    <row r="1785" spans="1:19" x14ac:dyDescent="0.3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  <c r="L1785" t="str">
        <f>VLOOKUP(D1785,Products!$A:$F,3,FALSE)</f>
        <v>Beauty</v>
      </c>
      <c r="M1785" t="b">
        <f>VLOOKUP(D1785,Products!$A:$F,6,FALSE)</f>
        <v>1</v>
      </c>
      <c r="N1785">
        <f>VLOOKUP(D1785,Products!$A:$F,4,FALSE)</f>
        <v>675</v>
      </c>
      <c r="O1785" t="str">
        <f>VLOOKUP(C1785,Customers!$A:$F,5,FALSE)</f>
        <v>Retail</v>
      </c>
      <c r="P1785">
        <f>VLOOKUP(C1785,Customers!$A:$F,3,FALSE)</f>
        <v>65</v>
      </c>
      <c r="Q1785" t="str">
        <f>VLOOKUP(E1785,Sales_Reps!$A:$E,3,FALSE)</f>
        <v>North</v>
      </c>
      <c r="R1785" t="str">
        <f>VLOOKUP(E1785,Sales_Reps!$A:$E,2,FALSE)</f>
        <v>Sunita Malhotra</v>
      </c>
      <c r="S1785">
        <f t="shared" si="27"/>
        <v>0.296875</v>
      </c>
    </row>
    <row r="1786" spans="1:19" x14ac:dyDescent="0.3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  <c r="L1786" t="str">
        <f>VLOOKUP(D1786,Products!$A:$F,3,FALSE)</f>
        <v>Grocery</v>
      </c>
      <c r="M1786" t="b">
        <f>VLOOKUP(D1786,Products!$A:$F,6,FALSE)</f>
        <v>0</v>
      </c>
      <c r="N1786">
        <f>VLOOKUP(D1786,Products!$A:$F,4,FALSE)</f>
        <v>2214</v>
      </c>
      <c r="O1786" t="str">
        <f>VLOOKUP(C1786,Customers!$A:$F,5,FALSE)</f>
        <v>SMB</v>
      </c>
      <c r="P1786">
        <f>VLOOKUP(C1786,Customers!$A:$F,3,FALSE)</f>
        <v>24</v>
      </c>
      <c r="Q1786" t="str">
        <f>VLOOKUP(E1786,Sales_Reps!$A:$E,3,FALSE)</f>
        <v>North</v>
      </c>
      <c r="R1786" t="str">
        <f>VLOOKUP(E1786,Sales_Reps!$A:$E,2,FALSE)</f>
        <v>Suresh Menon</v>
      </c>
      <c r="S1786">
        <f t="shared" si="27"/>
        <v>0.39508196721311473</v>
      </c>
    </row>
    <row r="1787" spans="1:19" x14ac:dyDescent="0.3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  <c r="L1787" t="str">
        <f>VLOOKUP(D1787,Products!$A:$F,3,FALSE)</f>
        <v>Beauty</v>
      </c>
      <c r="M1787" t="b">
        <f>VLOOKUP(D1787,Products!$A:$F,6,FALSE)</f>
        <v>1</v>
      </c>
      <c r="N1787">
        <f>VLOOKUP(D1787,Products!$A:$F,4,FALSE)</f>
        <v>2420</v>
      </c>
      <c r="O1787" t="str">
        <f>VLOOKUP(C1787,Customers!$A:$F,5,FALSE)</f>
        <v>Corporate</v>
      </c>
      <c r="P1787">
        <f>VLOOKUP(C1787,Customers!$A:$F,3,FALSE)</f>
        <v>24</v>
      </c>
      <c r="Q1787" t="str">
        <f>VLOOKUP(E1787,Sales_Reps!$A:$E,3,FALSE)</f>
        <v>East</v>
      </c>
      <c r="R1787" t="str">
        <f>VLOOKUP(E1787,Sales_Reps!$A:$E,2,FALSE)</f>
        <v>Prakash Shah</v>
      </c>
      <c r="S1787">
        <f t="shared" si="27"/>
        <v>0.29855072463768118</v>
      </c>
    </row>
    <row r="1788" spans="1:19" x14ac:dyDescent="0.3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  <c r="L1788" t="str">
        <f>VLOOKUP(D1788,Products!$A:$F,3,FALSE)</f>
        <v>Home</v>
      </c>
      <c r="M1788" t="b">
        <f>VLOOKUP(D1788,Products!$A:$F,6,FALSE)</f>
        <v>1</v>
      </c>
      <c r="N1788">
        <f>VLOOKUP(D1788,Products!$A:$F,4,FALSE)</f>
        <v>1850</v>
      </c>
      <c r="O1788" t="str">
        <f>VLOOKUP(C1788,Customers!$A:$F,5,FALSE)</f>
        <v>Retail</v>
      </c>
      <c r="P1788">
        <f>VLOOKUP(C1788,Customers!$A:$F,3,FALSE)</f>
        <v>35</v>
      </c>
      <c r="Q1788" t="str">
        <f>VLOOKUP(E1788,Sales_Reps!$A:$E,3,FALSE)</f>
        <v>East</v>
      </c>
      <c r="R1788" t="str">
        <f>VLOOKUP(E1788,Sales_Reps!$A:$E,2,FALSE)</f>
        <v>Meera Iyer</v>
      </c>
      <c r="S1788">
        <f t="shared" si="27"/>
        <v>0.59869848156182215</v>
      </c>
    </row>
    <row r="1789" spans="1:19" x14ac:dyDescent="0.3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  <c r="L1789" t="str">
        <f>VLOOKUP(D1789,Products!$A:$F,3,FALSE)</f>
        <v>Sports</v>
      </c>
      <c r="M1789" t="b">
        <f>VLOOKUP(D1789,Products!$A:$F,6,FALSE)</f>
        <v>1</v>
      </c>
      <c r="N1789">
        <f>VLOOKUP(D1789,Products!$A:$F,4,FALSE)</f>
        <v>705</v>
      </c>
      <c r="O1789" t="str">
        <f>VLOOKUP(C1789,Customers!$A:$F,5,FALSE)</f>
        <v>Retail</v>
      </c>
      <c r="P1789">
        <f>VLOOKUP(C1789,Customers!$A:$F,3,FALSE)</f>
        <v>55</v>
      </c>
      <c r="Q1789" t="str">
        <f>VLOOKUP(E1789,Sales_Reps!$A:$E,3,FALSE)</f>
        <v>South</v>
      </c>
      <c r="R1789" t="str">
        <f>VLOOKUP(E1789,Sales_Reps!$A:$E,2,FALSE)</f>
        <v>Manoj Patel</v>
      </c>
      <c r="S1789">
        <f t="shared" si="27"/>
        <v>0.265625</v>
      </c>
    </row>
    <row r="1790" spans="1:19" x14ac:dyDescent="0.3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  <c r="L1790" t="str">
        <f>VLOOKUP(D1790,Products!$A:$F,3,FALSE)</f>
        <v>Home</v>
      </c>
      <c r="M1790" t="b">
        <f>VLOOKUP(D1790,Products!$A:$F,6,FALSE)</f>
        <v>1</v>
      </c>
      <c r="N1790">
        <f>VLOOKUP(D1790,Products!$A:$F,4,FALSE)</f>
        <v>288</v>
      </c>
      <c r="O1790" t="str">
        <f>VLOOKUP(C1790,Customers!$A:$F,5,FALSE)</f>
        <v>SMB</v>
      </c>
      <c r="P1790">
        <f>VLOOKUP(C1790,Customers!$A:$F,3,FALSE)</f>
        <v>64</v>
      </c>
      <c r="Q1790" t="str">
        <f>VLOOKUP(E1790,Sales_Reps!$A:$E,3,FALSE)</f>
        <v>East</v>
      </c>
      <c r="R1790" t="str">
        <f>VLOOKUP(E1790,Sales_Reps!$A:$E,2,FALSE)</f>
        <v>Vinod Kumar</v>
      </c>
      <c r="S1790">
        <f t="shared" si="27"/>
        <v>0.22162162162162163</v>
      </c>
    </row>
    <row r="1791" spans="1:19" x14ac:dyDescent="0.3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  <c r="L1791" t="str">
        <f>VLOOKUP(D1791,Products!$A:$F,3,FALSE)</f>
        <v>Grocery</v>
      </c>
      <c r="M1791" t="b">
        <f>VLOOKUP(D1791,Products!$A:$F,6,FALSE)</f>
        <v>1</v>
      </c>
      <c r="N1791">
        <f>VLOOKUP(D1791,Products!$A:$F,4,FALSE)</f>
        <v>1203</v>
      </c>
      <c r="O1791" t="str">
        <f>VLOOKUP(C1791,Customers!$A:$F,5,FALSE)</f>
        <v>Corporate</v>
      </c>
      <c r="P1791">
        <f>VLOOKUP(C1791,Customers!$A:$F,3,FALSE)</f>
        <v>22</v>
      </c>
      <c r="Q1791" t="str">
        <f>VLOOKUP(E1791,Sales_Reps!$A:$E,3,FALSE)</f>
        <v>North</v>
      </c>
      <c r="R1791" t="str">
        <f>VLOOKUP(E1791,Sales_Reps!$A:$E,2,FALSE)</f>
        <v>Priya Singh</v>
      </c>
      <c r="S1791">
        <f t="shared" si="27"/>
        <v>0.47004405286343615</v>
      </c>
    </row>
    <row r="1792" spans="1:19" x14ac:dyDescent="0.3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  <c r="L1792" t="str">
        <f>VLOOKUP(D1792,Products!$A:$F,3,FALSE)</f>
        <v>Home</v>
      </c>
      <c r="M1792" t="b">
        <f>VLOOKUP(D1792,Products!$A:$F,6,FALSE)</f>
        <v>1</v>
      </c>
      <c r="N1792">
        <f>VLOOKUP(D1792,Products!$A:$F,4,FALSE)</f>
        <v>1556</v>
      </c>
      <c r="O1792" t="str">
        <f>VLOOKUP(C1792,Customers!$A:$F,5,FALSE)</f>
        <v>Corporate</v>
      </c>
      <c r="P1792">
        <f>VLOOKUP(C1792,Customers!$A:$F,3,FALSE)</f>
        <v>42</v>
      </c>
      <c r="Q1792" t="str">
        <f>VLOOKUP(E1792,Sales_Reps!$A:$E,3,FALSE)</f>
        <v>South</v>
      </c>
      <c r="R1792" t="str">
        <f>VLOOKUP(E1792,Sales_Reps!$A:$E,2,FALSE)</f>
        <v>Ritu Menon</v>
      </c>
      <c r="S1792">
        <f t="shared" si="27"/>
        <v>0.52123076923076928</v>
      </c>
    </row>
    <row r="1793" spans="1:19" x14ac:dyDescent="0.3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  <c r="L1793" t="str">
        <f>VLOOKUP(D1793,Products!$A:$F,3,FALSE)</f>
        <v>Apparel</v>
      </c>
      <c r="M1793" t="b">
        <f>VLOOKUP(D1793,Products!$A:$F,6,FALSE)</f>
        <v>1</v>
      </c>
      <c r="N1793">
        <f>VLOOKUP(D1793,Products!$A:$F,4,FALSE)</f>
        <v>396</v>
      </c>
      <c r="O1793" t="str">
        <f>VLOOKUP(C1793,Customers!$A:$F,5,FALSE)</f>
        <v>Corporate</v>
      </c>
      <c r="P1793">
        <f>VLOOKUP(C1793,Customers!$A:$F,3,FALSE)</f>
        <v>54</v>
      </c>
      <c r="Q1793" t="str">
        <f>VLOOKUP(E1793,Sales_Reps!$A:$E,3,FALSE)</f>
        <v>East</v>
      </c>
      <c r="R1793" t="str">
        <f>VLOOKUP(E1793,Sales_Reps!$A:$E,2,FALSE)</f>
        <v>Shalini Patel</v>
      </c>
      <c r="S1793">
        <f t="shared" si="27"/>
        <v>0.36129032258064514</v>
      </c>
    </row>
    <row r="1794" spans="1:19" x14ac:dyDescent="0.3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  <c r="L1794" t="str">
        <f>VLOOKUP(D1794,Products!$A:$F,3,FALSE)</f>
        <v>Electronics</v>
      </c>
      <c r="M1794" t="b">
        <f>VLOOKUP(D1794,Products!$A:$F,6,FALSE)</f>
        <v>0</v>
      </c>
      <c r="N1794">
        <f>VLOOKUP(D1794,Products!$A:$F,4,FALSE)</f>
        <v>1259</v>
      </c>
      <c r="O1794" t="str">
        <f>VLOOKUP(C1794,Customers!$A:$F,5,FALSE)</f>
        <v>SMB</v>
      </c>
      <c r="P1794">
        <f>VLOOKUP(C1794,Customers!$A:$F,3,FALSE)</f>
        <v>54</v>
      </c>
      <c r="Q1794" t="str">
        <f>VLOOKUP(E1794,Sales_Reps!$A:$E,3,FALSE)</f>
        <v>North</v>
      </c>
      <c r="R1794" t="str">
        <f>VLOOKUP(E1794,Sales_Reps!$A:$E,2,FALSE)</f>
        <v>Vikram Patel</v>
      </c>
      <c r="S1794">
        <f t="shared" si="27"/>
        <v>0.52669172932330832</v>
      </c>
    </row>
    <row r="1795" spans="1:19" x14ac:dyDescent="0.3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  <c r="L1795" t="str">
        <f>VLOOKUP(D1795,Products!$A:$F,3,FALSE)</f>
        <v>Apparel</v>
      </c>
      <c r="M1795" t="b">
        <f>VLOOKUP(D1795,Products!$A:$F,6,FALSE)</f>
        <v>1</v>
      </c>
      <c r="N1795">
        <f>VLOOKUP(D1795,Products!$A:$F,4,FALSE)</f>
        <v>2509</v>
      </c>
      <c r="O1795" t="str">
        <f>VLOOKUP(C1795,Customers!$A:$F,5,FALSE)</f>
        <v>Retail</v>
      </c>
      <c r="P1795">
        <f>VLOOKUP(C1795,Customers!$A:$F,3,FALSE)</f>
        <v>47</v>
      </c>
      <c r="Q1795" t="str">
        <f>VLOOKUP(E1795,Sales_Reps!$A:$E,3,FALSE)</f>
        <v>North</v>
      </c>
      <c r="R1795" t="str">
        <f>VLOOKUP(E1795,Sales_Reps!$A:$E,2,FALSE)</f>
        <v>Rajesh Malhotra</v>
      </c>
      <c r="S1795">
        <f t="shared" ref="S1795:S1858" si="28">IFERROR((G1795-N1795)/G1795,"")</f>
        <v>0.3069060773480663</v>
      </c>
    </row>
    <row r="1796" spans="1:19" x14ac:dyDescent="0.3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  <c r="L1796" t="str">
        <f>VLOOKUP(D1796,Products!$A:$F,3,FALSE)</f>
        <v>Apparel</v>
      </c>
      <c r="M1796" t="b">
        <f>VLOOKUP(D1796,Products!$A:$F,6,FALSE)</f>
        <v>1</v>
      </c>
      <c r="N1796">
        <f>VLOOKUP(D1796,Products!$A:$F,4,FALSE)</f>
        <v>2611</v>
      </c>
      <c r="O1796" t="str">
        <f>VLOOKUP(C1796,Customers!$A:$F,5,FALSE)</f>
        <v>Retail</v>
      </c>
      <c r="P1796">
        <f>VLOOKUP(C1796,Customers!$A:$F,3,FALSE)</f>
        <v>48</v>
      </c>
      <c r="Q1796" t="str">
        <f>VLOOKUP(E1796,Sales_Reps!$A:$E,3,FALSE)</f>
        <v>East</v>
      </c>
      <c r="R1796" t="str">
        <f>VLOOKUP(E1796,Sales_Reps!$A:$E,2,FALSE)</f>
        <v>Gaurav Desai</v>
      </c>
      <c r="S1796">
        <f t="shared" si="28"/>
        <v>0.28269230769230769</v>
      </c>
    </row>
    <row r="1797" spans="1:19" x14ac:dyDescent="0.3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  <c r="L1797" t="str">
        <f>VLOOKUP(D1797,Products!$A:$F,3,FALSE)</f>
        <v>Electronics</v>
      </c>
      <c r="M1797" t="b">
        <f>VLOOKUP(D1797,Products!$A:$F,6,FALSE)</f>
        <v>1</v>
      </c>
      <c r="N1797">
        <f>VLOOKUP(D1797,Products!$A:$F,4,FALSE)</f>
        <v>517</v>
      </c>
      <c r="O1797" t="str">
        <f>VLOOKUP(C1797,Customers!$A:$F,5,FALSE)</f>
        <v>Retail</v>
      </c>
      <c r="P1797">
        <f>VLOOKUP(C1797,Customers!$A:$F,3,FALSE)</f>
        <v>52</v>
      </c>
      <c r="Q1797" t="str">
        <f>VLOOKUP(E1797,Sales_Reps!$A:$E,3,FALSE)</f>
        <v>North</v>
      </c>
      <c r="R1797" t="str">
        <f>VLOOKUP(E1797,Sales_Reps!$A:$E,2,FALSE)</f>
        <v>Suresh Menon</v>
      </c>
      <c r="S1797">
        <f t="shared" si="28"/>
        <v>0.57622950819672136</v>
      </c>
    </row>
    <row r="1798" spans="1:19" x14ac:dyDescent="0.3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  <c r="L1798" t="str">
        <f>VLOOKUP(D1798,Products!$A:$F,3,FALSE)</f>
        <v>Apparel</v>
      </c>
      <c r="M1798" t="b">
        <f>VLOOKUP(D1798,Products!$A:$F,6,FALSE)</f>
        <v>1</v>
      </c>
      <c r="N1798">
        <f>VLOOKUP(D1798,Products!$A:$F,4,FALSE)</f>
        <v>1173</v>
      </c>
      <c r="O1798" t="str">
        <f>VLOOKUP(C1798,Customers!$A:$F,5,FALSE)</f>
        <v>SMB</v>
      </c>
      <c r="P1798">
        <f>VLOOKUP(C1798,Customers!$A:$F,3,FALSE)</f>
        <v>46</v>
      </c>
      <c r="Q1798" t="str">
        <f>VLOOKUP(E1798,Sales_Reps!$A:$E,3,FALSE)</f>
        <v>North</v>
      </c>
      <c r="R1798" t="str">
        <f>VLOOKUP(E1798,Sales_Reps!$A:$E,2,FALSE)</f>
        <v>Sunita Malhotra</v>
      </c>
      <c r="S1798">
        <f t="shared" si="28"/>
        <v>0.52701612903225803</v>
      </c>
    </row>
    <row r="1799" spans="1:19" x14ac:dyDescent="0.3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  <c r="L1799" t="str">
        <f>VLOOKUP(D1799,Products!$A:$F,3,FALSE)</f>
        <v>Beauty</v>
      </c>
      <c r="M1799" t="b">
        <f>VLOOKUP(D1799,Products!$A:$F,6,FALSE)</f>
        <v>1</v>
      </c>
      <c r="N1799">
        <f>VLOOKUP(D1799,Products!$A:$F,4,FALSE)</f>
        <v>1222</v>
      </c>
      <c r="O1799" t="str">
        <f>VLOOKUP(C1799,Customers!$A:$F,5,FALSE)</f>
        <v>Retail</v>
      </c>
      <c r="P1799">
        <f>VLOOKUP(C1799,Customers!$A:$F,3,FALSE)</f>
        <v>61</v>
      </c>
      <c r="Q1799" t="str">
        <f>VLOOKUP(E1799,Sales_Reps!$A:$E,3,FALSE)</f>
        <v>West</v>
      </c>
      <c r="R1799" t="str">
        <f>VLOOKUP(E1799,Sales_Reps!$A:$E,2,FALSE)</f>
        <v>Ramesh Bhatt</v>
      </c>
      <c r="S1799">
        <f t="shared" si="28"/>
        <v>0.2593939393939394</v>
      </c>
    </row>
    <row r="1800" spans="1:19" x14ac:dyDescent="0.3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  <c r="L1800" t="str">
        <f>VLOOKUP(D1800,Products!$A:$F,3,FALSE)</f>
        <v>Beauty</v>
      </c>
      <c r="M1800" t="b">
        <f>VLOOKUP(D1800,Products!$A:$F,6,FALSE)</f>
        <v>1</v>
      </c>
      <c r="N1800">
        <f>VLOOKUP(D1800,Products!$A:$F,4,FALSE)</f>
        <v>1626</v>
      </c>
      <c r="O1800" t="str">
        <f>VLOOKUP(C1800,Customers!$A:$F,5,FALSE)</f>
        <v>Retail</v>
      </c>
      <c r="P1800">
        <f>VLOOKUP(C1800,Customers!$A:$F,3,FALSE)</f>
        <v>24</v>
      </c>
      <c r="Q1800" t="str">
        <f>VLOOKUP(E1800,Sales_Reps!$A:$E,3,FALSE)</f>
        <v>North</v>
      </c>
      <c r="R1800" t="str">
        <f>VLOOKUP(E1800,Sales_Reps!$A:$E,2,FALSE)</f>
        <v>Kavita Patel</v>
      </c>
      <c r="S1800">
        <f t="shared" si="28"/>
        <v>0.46158940397350995</v>
      </c>
    </row>
    <row r="1801" spans="1:19" x14ac:dyDescent="0.3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  <c r="L1801" t="str">
        <f>VLOOKUP(D1801,Products!$A:$F,3,FALSE)</f>
        <v>Apparel</v>
      </c>
      <c r="M1801" t="b">
        <f>VLOOKUP(D1801,Products!$A:$F,6,FALSE)</f>
        <v>1</v>
      </c>
      <c r="N1801">
        <f>VLOOKUP(D1801,Products!$A:$F,4,FALSE)</f>
        <v>1748</v>
      </c>
      <c r="O1801" t="str">
        <f>VLOOKUP(C1801,Customers!$A:$F,5,FALSE)</f>
        <v>Retail</v>
      </c>
      <c r="P1801">
        <f>VLOOKUP(C1801,Customers!$A:$F,3,FALSE)</f>
        <v>47</v>
      </c>
      <c r="Q1801" t="str">
        <f>VLOOKUP(E1801,Sales_Reps!$A:$E,3,FALSE)</f>
        <v>South</v>
      </c>
      <c r="R1801" t="str">
        <f>VLOOKUP(E1801,Sales_Reps!$A:$E,2,FALSE)</f>
        <v>Ritu Menon</v>
      </c>
      <c r="S1801">
        <f t="shared" si="28"/>
        <v>0.49333333333333335</v>
      </c>
    </row>
    <row r="1802" spans="1:19" x14ac:dyDescent="0.3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  <c r="L1802" t="str">
        <f>VLOOKUP(D1802,Products!$A:$F,3,FALSE)</f>
        <v>Electronics</v>
      </c>
      <c r="M1802" t="b">
        <f>VLOOKUP(D1802,Products!$A:$F,6,FALSE)</f>
        <v>1</v>
      </c>
      <c r="N1802">
        <f>VLOOKUP(D1802,Products!$A:$F,4,FALSE)</f>
        <v>517</v>
      </c>
      <c r="O1802" t="str">
        <f>VLOOKUP(C1802,Customers!$A:$F,5,FALSE)</f>
        <v>Retail</v>
      </c>
      <c r="P1802">
        <f>VLOOKUP(C1802,Customers!$A:$F,3,FALSE)</f>
        <v>26</v>
      </c>
      <c r="Q1802" t="str">
        <f>VLOOKUP(E1802,Sales_Reps!$A:$E,3,FALSE)</f>
        <v>East</v>
      </c>
      <c r="R1802" t="str">
        <f>VLOOKUP(E1802,Sales_Reps!$A:$E,2,FALSE)</f>
        <v>Prakash Shah</v>
      </c>
      <c r="S1802">
        <f t="shared" si="28"/>
        <v>0.57622950819672136</v>
      </c>
    </row>
    <row r="1803" spans="1:19" x14ac:dyDescent="0.3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  <c r="L1803" t="str">
        <f>VLOOKUP(D1803,Products!$A:$F,3,FALSE)</f>
        <v>Grocery</v>
      </c>
      <c r="M1803" t="b">
        <f>VLOOKUP(D1803,Products!$A:$F,6,FALSE)</f>
        <v>1</v>
      </c>
      <c r="N1803">
        <f>VLOOKUP(D1803,Products!$A:$F,4,FALSE)</f>
        <v>2436</v>
      </c>
      <c r="O1803" t="str">
        <f>VLOOKUP(C1803,Customers!$A:$F,5,FALSE)</f>
        <v>SMB</v>
      </c>
      <c r="P1803">
        <f>VLOOKUP(C1803,Customers!$A:$F,3,FALSE)</f>
        <v>40</v>
      </c>
      <c r="Q1803" t="str">
        <f>VLOOKUP(E1803,Sales_Reps!$A:$E,3,FALSE)</f>
        <v>North</v>
      </c>
      <c r="R1803" t="str">
        <f>VLOOKUP(E1803,Sales_Reps!$A:$E,2,FALSE)</f>
        <v>Vikram Patel</v>
      </c>
      <c r="S1803">
        <f t="shared" si="28"/>
        <v>0.35555555555555557</v>
      </c>
    </row>
    <row r="1804" spans="1:19" x14ac:dyDescent="0.3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  <c r="L1804" t="str">
        <f>VLOOKUP(D1804,Products!$A:$F,3,FALSE)</f>
        <v>Electronics</v>
      </c>
      <c r="M1804" t="b">
        <f>VLOOKUP(D1804,Products!$A:$F,6,FALSE)</f>
        <v>0</v>
      </c>
      <c r="N1804">
        <f>VLOOKUP(D1804,Products!$A:$F,4,FALSE)</f>
        <v>1259</v>
      </c>
      <c r="O1804" t="str">
        <f>VLOOKUP(C1804,Customers!$A:$F,5,FALSE)</f>
        <v>Retail</v>
      </c>
      <c r="P1804">
        <f>VLOOKUP(C1804,Customers!$A:$F,3,FALSE)</f>
        <v>44</v>
      </c>
      <c r="Q1804" t="str">
        <f>VLOOKUP(E1804,Sales_Reps!$A:$E,3,FALSE)</f>
        <v>North</v>
      </c>
      <c r="R1804" t="str">
        <f>VLOOKUP(E1804,Sales_Reps!$A:$E,2,FALSE)</f>
        <v>Sunita Malhotra</v>
      </c>
      <c r="S1804">
        <f t="shared" si="28"/>
        <v>0.52669172932330832</v>
      </c>
    </row>
    <row r="1805" spans="1:19" x14ac:dyDescent="0.3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  <c r="L1805" t="str">
        <f>VLOOKUP(D1805,Products!$A:$F,3,FALSE)</f>
        <v>Home</v>
      </c>
      <c r="M1805" t="b">
        <f>VLOOKUP(D1805,Products!$A:$F,6,FALSE)</f>
        <v>1</v>
      </c>
      <c r="N1805">
        <f>VLOOKUP(D1805,Products!$A:$F,4,FALSE)</f>
        <v>464</v>
      </c>
      <c r="O1805" t="str">
        <f>VLOOKUP(C1805,Customers!$A:$F,5,FALSE)</f>
        <v>Retail</v>
      </c>
      <c r="P1805">
        <f>VLOOKUP(C1805,Customers!$A:$F,3,FALSE)</f>
        <v>46</v>
      </c>
      <c r="Q1805" t="str">
        <f>VLOOKUP(E1805,Sales_Reps!$A:$E,3,FALSE)</f>
        <v>North</v>
      </c>
      <c r="R1805" t="str">
        <f>VLOOKUP(E1805,Sales_Reps!$A:$E,2,FALSE)</f>
        <v>Kavita Patel</v>
      </c>
      <c r="S1805">
        <f t="shared" si="28"/>
        <v>0.57431192660550456</v>
      </c>
    </row>
    <row r="1806" spans="1:19" x14ac:dyDescent="0.3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  <c r="L1806" t="str">
        <f>VLOOKUP(D1806,Products!$A:$F,3,FALSE)</f>
        <v>Home</v>
      </c>
      <c r="M1806" t="b">
        <f>VLOOKUP(D1806,Products!$A:$F,6,FALSE)</f>
        <v>1</v>
      </c>
      <c r="N1806">
        <f>VLOOKUP(D1806,Products!$A:$F,4,FALSE)</f>
        <v>329</v>
      </c>
      <c r="O1806" t="e">
        <f>VLOOKUP(C1806,Customers!$A:$F,5,FALSE)</f>
        <v>#N/A</v>
      </c>
      <c r="P1806" t="e">
        <f>VLOOKUP(C1806,Customers!$A:$F,3,FALSE)</f>
        <v>#N/A</v>
      </c>
      <c r="Q1806" t="str">
        <f>VLOOKUP(E1806,Sales_Reps!$A:$E,3,FALSE)</f>
        <v>South</v>
      </c>
      <c r="R1806" t="str">
        <f>VLOOKUP(E1806,Sales_Reps!$A:$E,2,FALSE)</f>
        <v>Anjali Chopra</v>
      </c>
      <c r="S1806">
        <f t="shared" si="28"/>
        <v>0.50151515151515147</v>
      </c>
    </row>
    <row r="1807" spans="1:19" x14ac:dyDescent="0.3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  <c r="L1807" t="str">
        <f>VLOOKUP(D1807,Products!$A:$F,3,FALSE)</f>
        <v>Home</v>
      </c>
      <c r="M1807" t="b">
        <f>VLOOKUP(D1807,Products!$A:$F,6,FALSE)</f>
        <v>1</v>
      </c>
      <c r="N1807">
        <f>VLOOKUP(D1807,Products!$A:$F,4,FALSE)</f>
        <v>464</v>
      </c>
      <c r="O1807" t="str">
        <f>VLOOKUP(C1807,Customers!$A:$F,5,FALSE)</f>
        <v>SMB</v>
      </c>
      <c r="P1807">
        <f>VLOOKUP(C1807,Customers!$A:$F,3,FALSE)</f>
        <v>53</v>
      </c>
      <c r="Q1807" t="str">
        <f>VLOOKUP(E1807,Sales_Reps!$A:$E,3,FALSE)</f>
        <v>South</v>
      </c>
      <c r="R1807" t="str">
        <f>VLOOKUP(E1807,Sales_Reps!$A:$E,2,FALSE)</f>
        <v>Deepak Shah</v>
      </c>
      <c r="S1807">
        <f t="shared" si="28"/>
        <v>0.57431192660550456</v>
      </c>
    </row>
    <row r="1808" spans="1:19" x14ac:dyDescent="0.3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  <c r="L1808" t="str">
        <f>VLOOKUP(D1808,Products!$A:$F,3,FALSE)</f>
        <v>Grocery</v>
      </c>
      <c r="M1808" t="b">
        <f>VLOOKUP(D1808,Products!$A:$F,6,FALSE)</f>
        <v>1</v>
      </c>
      <c r="N1808">
        <f>VLOOKUP(D1808,Products!$A:$F,4,FALSE)</f>
        <v>1010</v>
      </c>
      <c r="O1808" t="str">
        <f>VLOOKUP(C1808,Customers!$A:$F,5,FALSE)</f>
        <v>Retail</v>
      </c>
      <c r="P1808">
        <f>VLOOKUP(C1808,Customers!$A:$F,3,FALSE)</f>
        <v>42</v>
      </c>
      <c r="Q1808" t="str">
        <f>VLOOKUP(E1808,Sales_Reps!$A:$E,3,FALSE)</f>
        <v>South</v>
      </c>
      <c r="R1808" t="str">
        <f>VLOOKUP(E1808,Sales_Reps!$A:$E,2,FALSE)</f>
        <v>Deepak Shah</v>
      </c>
      <c r="S1808">
        <f t="shared" si="28"/>
        <v>0.54298642533936647</v>
      </c>
    </row>
    <row r="1809" spans="1:19" x14ac:dyDescent="0.3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  <c r="L1809" t="str">
        <f>VLOOKUP(D1809,Products!$A:$F,3,FALSE)</f>
        <v>Electronics</v>
      </c>
      <c r="M1809" t="b">
        <f>VLOOKUP(D1809,Products!$A:$F,6,FALSE)</f>
        <v>1</v>
      </c>
      <c r="N1809">
        <f>VLOOKUP(D1809,Products!$A:$F,4,FALSE)</f>
        <v>2865</v>
      </c>
      <c r="O1809" t="str">
        <f>VLOOKUP(C1809,Customers!$A:$F,5,FALSE)</f>
        <v>Corporate</v>
      </c>
      <c r="P1809">
        <f>VLOOKUP(C1809,Customers!$A:$F,3,FALSE)</f>
        <v>55</v>
      </c>
      <c r="Q1809" t="str">
        <f>VLOOKUP(E1809,Sales_Reps!$A:$E,3,FALSE)</f>
        <v>West</v>
      </c>
      <c r="R1809" t="str">
        <f>VLOOKUP(E1809,Sales_Reps!$A:$E,2,FALSE)</f>
        <v>Arun Iyer</v>
      </c>
      <c r="S1809">
        <f t="shared" si="28"/>
        <v>0.27833753148614609</v>
      </c>
    </row>
    <row r="1810" spans="1:19" x14ac:dyDescent="0.3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  <c r="L1810" t="str">
        <f>VLOOKUP(D1810,Products!$A:$F,3,FALSE)</f>
        <v>Home</v>
      </c>
      <c r="M1810" t="b">
        <f>VLOOKUP(D1810,Products!$A:$F,6,FALSE)</f>
        <v>1</v>
      </c>
      <c r="N1810">
        <f>VLOOKUP(D1810,Products!$A:$F,4,FALSE)</f>
        <v>1850</v>
      </c>
      <c r="O1810" t="str">
        <f>VLOOKUP(C1810,Customers!$A:$F,5,FALSE)</f>
        <v>Retail</v>
      </c>
      <c r="P1810">
        <f>VLOOKUP(C1810,Customers!$A:$F,3,FALSE)</f>
        <v>59</v>
      </c>
      <c r="Q1810" t="str">
        <f>VLOOKUP(E1810,Sales_Reps!$A:$E,3,FALSE)</f>
        <v>East</v>
      </c>
      <c r="R1810" t="str">
        <f>VLOOKUP(E1810,Sales_Reps!$A:$E,2,FALSE)</f>
        <v>Gaurav Desai</v>
      </c>
      <c r="S1810">
        <f t="shared" si="28"/>
        <v>0.59869848156182215</v>
      </c>
    </row>
    <row r="1811" spans="1:19" x14ac:dyDescent="0.3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  <c r="L1811" t="str">
        <f>VLOOKUP(D1811,Products!$A:$F,3,FALSE)</f>
        <v>Beauty</v>
      </c>
      <c r="M1811" t="b">
        <f>VLOOKUP(D1811,Products!$A:$F,6,FALSE)</f>
        <v>1</v>
      </c>
      <c r="N1811">
        <f>VLOOKUP(D1811,Products!$A:$F,4,FALSE)</f>
        <v>675</v>
      </c>
      <c r="O1811" t="str">
        <f>VLOOKUP(C1811,Customers!$A:$F,5,FALSE)</f>
        <v>SMB</v>
      </c>
      <c r="P1811">
        <f>VLOOKUP(C1811,Customers!$A:$F,3,FALSE)</f>
        <v>55</v>
      </c>
      <c r="Q1811" t="str">
        <f>VLOOKUP(E1811,Sales_Reps!$A:$E,3,FALSE)</f>
        <v>West</v>
      </c>
      <c r="R1811" t="str">
        <f>VLOOKUP(E1811,Sales_Reps!$A:$E,2,FALSE)</f>
        <v>Sonia Malhotra</v>
      </c>
      <c r="S1811">
        <f t="shared" si="28"/>
        <v>0.296875</v>
      </c>
    </row>
    <row r="1812" spans="1:19" x14ac:dyDescent="0.3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  <c r="L1812" t="str">
        <f>VLOOKUP(D1812,Products!$A:$F,3,FALSE)</f>
        <v>Beauty</v>
      </c>
      <c r="M1812" t="b">
        <f>VLOOKUP(D1812,Products!$A:$F,6,FALSE)</f>
        <v>1</v>
      </c>
      <c r="N1812">
        <f>VLOOKUP(D1812,Products!$A:$F,4,FALSE)</f>
        <v>1626</v>
      </c>
      <c r="O1812" t="str">
        <f>VLOOKUP(C1812,Customers!$A:$F,5,FALSE)</f>
        <v>SMB</v>
      </c>
      <c r="P1812">
        <f>VLOOKUP(C1812,Customers!$A:$F,3,FALSE)</f>
        <v>64</v>
      </c>
      <c r="Q1812" t="str">
        <f>VLOOKUP(E1812,Sales_Reps!$A:$E,3,FALSE)</f>
        <v>South</v>
      </c>
      <c r="R1812" t="str">
        <f>VLOOKUP(E1812,Sales_Reps!$A:$E,2,FALSE)</f>
        <v>Anjali Chopra</v>
      </c>
      <c r="S1812">
        <f t="shared" si="28"/>
        <v>0.46158940397350995</v>
      </c>
    </row>
    <row r="1813" spans="1:19" x14ac:dyDescent="0.3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  <c r="L1813" t="str">
        <f>VLOOKUP(D1813,Products!$A:$F,3,FALSE)</f>
        <v>Apparel</v>
      </c>
      <c r="M1813" t="b">
        <f>VLOOKUP(D1813,Products!$A:$F,6,FALSE)</f>
        <v>1</v>
      </c>
      <c r="N1813">
        <f>VLOOKUP(D1813,Products!$A:$F,4,FALSE)</f>
        <v>1173</v>
      </c>
      <c r="O1813" t="str">
        <f>VLOOKUP(C1813,Customers!$A:$F,5,FALSE)</f>
        <v>SMB</v>
      </c>
      <c r="P1813">
        <f>VLOOKUP(C1813,Customers!$A:$F,3,FALSE)</f>
        <v>39</v>
      </c>
      <c r="Q1813" t="str">
        <f>VLOOKUP(E1813,Sales_Reps!$A:$E,3,FALSE)</f>
        <v>West</v>
      </c>
      <c r="R1813" t="str">
        <f>VLOOKUP(E1813,Sales_Reps!$A:$E,2,FALSE)</f>
        <v>Sonia Malhotra</v>
      </c>
      <c r="S1813">
        <f t="shared" si="28"/>
        <v>0.52701612903225803</v>
      </c>
    </row>
    <row r="1814" spans="1:19" x14ac:dyDescent="0.3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  <c r="L1814" t="str">
        <f>VLOOKUP(D1814,Products!$A:$F,3,FALSE)</f>
        <v>Electronics</v>
      </c>
      <c r="M1814" t="b">
        <f>VLOOKUP(D1814,Products!$A:$F,6,FALSE)</f>
        <v>1</v>
      </c>
      <c r="N1814">
        <f>VLOOKUP(D1814,Products!$A:$F,4,FALSE)</f>
        <v>1559</v>
      </c>
      <c r="O1814" t="str">
        <f>VLOOKUP(C1814,Customers!$A:$F,5,FALSE)</f>
        <v>Retail</v>
      </c>
      <c r="P1814">
        <f>VLOOKUP(C1814,Customers!$A:$F,3,FALSE)</f>
        <v>22</v>
      </c>
      <c r="Q1814" t="str">
        <f>VLOOKUP(E1814,Sales_Reps!$A:$E,3,FALSE)</f>
        <v>South</v>
      </c>
      <c r="R1814" t="str">
        <f>VLOOKUP(E1814,Sales_Reps!$A:$E,2,FALSE)</f>
        <v>Sanjay Kapoor</v>
      </c>
      <c r="S1814">
        <f t="shared" si="28"/>
        <v>0.59715762273901807</v>
      </c>
    </row>
    <row r="1815" spans="1:19" x14ac:dyDescent="0.3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  <c r="L1815" t="str">
        <f>VLOOKUP(D1815,Products!$A:$F,3,FALSE)</f>
        <v>Home</v>
      </c>
      <c r="M1815" t="b">
        <f>VLOOKUP(D1815,Products!$A:$F,6,FALSE)</f>
        <v>1</v>
      </c>
      <c r="N1815">
        <f>VLOOKUP(D1815,Products!$A:$F,4,FALSE)</f>
        <v>329</v>
      </c>
      <c r="O1815" t="str">
        <f>VLOOKUP(C1815,Customers!$A:$F,5,FALSE)</f>
        <v>Corporate</v>
      </c>
      <c r="P1815">
        <f>VLOOKUP(C1815,Customers!$A:$F,3,FALSE)</f>
        <v>62</v>
      </c>
      <c r="Q1815" t="str">
        <f>VLOOKUP(E1815,Sales_Reps!$A:$E,3,FALSE)</f>
        <v>East</v>
      </c>
      <c r="R1815" t="str">
        <f>VLOOKUP(E1815,Sales_Reps!$A:$E,2,FALSE)</f>
        <v>Nisha Menon</v>
      </c>
      <c r="S1815">
        <f t="shared" si="28"/>
        <v>0.50151515151515147</v>
      </c>
    </row>
    <row r="1816" spans="1:19" x14ac:dyDescent="0.3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  <c r="L1816" t="str">
        <f>VLOOKUP(D1816,Products!$A:$F,3,FALSE)</f>
        <v>Electronics</v>
      </c>
      <c r="M1816" t="b">
        <f>VLOOKUP(D1816,Products!$A:$F,6,FALSE)</f>
        <v>1</v>
      </c>
      <c r="N1816">
        <f>VLOOKUP(D1816,Products!$A:$F,4,FALSE)</f>
        <v>1559</v>
      </c>
      <c r="O1816" t="e">
        <f>VLOOKUP(C1816,Customers!$A:$F,5,FALSE)</f>
        <v>#N/A</v>
      </c>
      <c r="P1816" t="e">
        <f>VLOOKUP(C1816,Customers!$A:$F,3,FALSE)</f>
        <v>#N/A</v>
      </c>
      <c r="Q1816" t="str">
        <f>VLOOKUP(E1816,Sales_Reps!$A:$E,3,FALSE)</f>
        <v>West</v>
      </c>
      <c r="R1816" t="str">
        <f>VLOOKUP(E1816,Sales_Reps!$A:$E,2,FALSE)</f>
        <v>Sonia Malhotra</v>
      </c>
      <c r="S1816">
        <f t="shared" si="28"/>
        <v>0.59715762273901807</v>
      </c>
    </row>
    <row r="1817" spans="1:19" x14ac:dyDescent="0.3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  <c r="L1817" t="str">
        <f>VLOOKUP(D1817,Products!$A:$F,3,FALSE)</f>
        <v>Apparel</v>
      </c>
      <c r="M1817" t="b">
        <f>VLOOKUP(D1817,Products!$A:$F,6,FALSE)</f>
        <v>1</v>
      </c>
      <c r="N1817">
        <f>VLOOKUP(D1817,Products!$A:$F,4,FALSE)</f>
        <v>1173</v>
      </c>
      <c r="O1817" t="str">
        <f>VLOOKUP(C1817,Customers!$A:$F,5,FALSE)</f>
        <v>SMB</v>
      </c>
      <c r="P1817">
        <f>VLOOKUP(C1817,Customers!$A:$F,3,FALSE)</f>
        <v>44</v>
      </c>
      <c r="Q1817" t="str">
        <f>VLOOKUP(E1817,Sales_Reps!$A:$E,3,FALSE)</f>
        <v>North</v>
      </c>
      <c r="R1817" t="str">
        <f>VLOOKUP(E1817,Sales_Reps!$A:$E,2,FALSE)</f>
        <v>Neha Desai</v>
      </c>
      <c r="S1817">
        <f t="shared" si="28"/>
        <v>0.52701612903225803</v>
      </c>
    </row>
    <row r="1818" spans="1:19" x14ac:dyDescent="0.3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  <c r="L1818" t="str">
        <f>VLOOKUP(D1818,Products!$A:$F,3,FALSE)</f>
        <v>Electronics</v>
      </c>
      <c r="M1818" t="b">
        <f>VLOOKUP(D1818,Products!$A:$F,6,FALSE)</f>
        <v>1</v>
      </c>
      <c r="N1818">
        <f>VLOOKUP(D1818,Products!$A:$F,4,FALSE)</f>
        <v>1149</v>
      </c>
      <c r="O1818" t="str">
        <f>VLOOKUP(C1818,Customers!$A:$F,5,FALSE)</f>
        <v>Retail</v>
      </c>
      <c r="P1818">
        <f>VLOOKUP(C1818,Customers!$A:$F,3,FALSE)</f>
        <v>61</v>
      </c>
      <c r="Q1818" t="str">
        <f>VLOOKUP(E1818,Sales_Reps!$A:$E,3,FALSE)</f>
        <v>North</v>
      </c>
      <c r="R1818" t="str">
        <f>VLOOKUP(E1818,Sales_Reps!$A:$E,2,FALSE)</f>
        <v>Rajesh Malhotra</v>
      </c>
      <c r="S1818">
        <f t="shared" si="28"/>
        <v>0.56477272727272732</v>
      </c>
    </row>
    <row r="1819" spans="1:19" x14ac:dyDescent="0.3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  <c r="L1819" t="str">
        <f>VLOOKUP(D1819,Products!$A:$F,3,FALSE)</f>
        <v>Grocery</v>
      </c>
      <c r="M1819" t="b">
        <f>VLOOKUP(D1819,Products!$A:$F,6,FALSE)</f>
        <v>1</v>
      </c>
      <c r="N1819">
        <f>VLOOKUP(D1819,Products!$A:$F,4,FALSE)</f>
        <v>434</v>
      </c>
      <c r="O1819" t="str">
        <f>VLOOKUP(C1819,Customers!$A:$F,5,FALSE)</f>
        <v>SMB</v>
      </c>
      <c r="P1819">
        <f>VLOOKUP(C1819,Customers!$A:$F,3,FALSE)</f>
        <v>25</v>
      </c>
      <c r="Q1819" t="str">
        <f>VLOOKUP(E1819,Sales_Reps!$A:$E,3,FALSE)</f>
        <v>North</v>
      </c>
      <c r="R1819" t="str">
        <f>VLOOKUP(E1819,Sales_Reps!$A:$E,2,FALSE)</f>
        <v>Rajesh Malhotra</v>
      </c>
      <c r="S1819">
        <f t="shared" si="28"/>
        <v>0.5525773195876289</v>
      </c>
    </row>
    <row r="1820" spans="1:19" x14ac:dyDescent="0.3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  <c r="L1820" t="str">
        <f>VLOOKUP(D1820,Products!$A:$F,3,FALSE)</f>
        <v>Sports</v>
      </c>
      <c r="M1820" t="b">
        <f>VLOOKUP(D1820,Products!$A:$F,6,FALSE)</f>
        <v>1</v>
      </c>
      <c r="N1820">
        <f>VLOOKUP(D1820,Products!$A:$F,4,FALSE)</f>
        <v>705</v>
      </c>
      <c r="O1820" t="str">
        <f>VLOOKUP(C1820,Customers!$A:$F,5,FALSE)</f>
        <v>Retail</v>
      </c>
      <c r="P1820">
        <f>VLOOKUP(C1820,Customers!$A:$F,3,FALSE)</f>
        <v>39</v>
      </c>
      <c r="Q1820" t="str">
        <f>VLOOKUP(E1820,Sales_Reps!$A:$E,3,FALSE)</f>
        <v>North</v>
      </c>
      <c r="R1820" t="str">
        <f>VLOOKUP(E1820,Sales_Reps!$A:$E,2,FALSE)</f>
        <v>Rajesh Malhotra</v>
      </c>
      <c r="S1820">
        <f t="shared" si="28"/>
        <v>0.265625</v>
      </c>
    </row>
    <row r="1821" spans="1:19" x14ac:dyDescent="0.3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  <c r="L1821" t="str">
        <f>VLOOKUP(D1821,Products!$A:$F,3,FALSE)</f>
        <v>Home</v>
      </c>
      <c r="M1821" t="b">
        <f>VLOOKUP(D1821,Products!$A:$F,6,FALSE)</f>
        <v>1</v>
      </c>
      <c r="N1821">
        <f>VLOOKUP(D1821,Products!$A:$F,4,FALSE)</f>
        <v>1143</v>
      </c>
      <c r="O1821" t="str">
        <f>VLOOKUP(C1821,Customers!$A:$F,5,FALSE)</f>
        <v>Retail</v>
      </c>
      <c r="P1821">
        <f>VLOOKUP(C1821,Customers!$A:$F,3,FALSE)</f>
        <v>31</v>
      </c>
      <c r="Q1821" t="str">
        <f>VLOOKUP(E1821,Sales_Reps!$A:$E,3,FALSE)</f>
        <v>North</v>
      </c>
      <c r="R1821" t="str">
        <f>VLOOKUP(E1821,Sales_Reps!$A:$E,2,FALSE)</f>
        <v>Kavita Patel</v>
      </c>
      <c r="S1821">
        <f t="shared" si="28"/>
        <v>0.43694581280788175</v>
      </c>
    </row>
    <row r="1822" spans="1:19" x14ac:dyDescent="0.3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  <c r="L1822" t="str">
        <f>VLOOKUP(D1822,Products!$A:$F,3,FALSE)</f>
        <v>Beauty</v>
      </c>
      <c r="M1822" t="b">
        <f>VLOOKUP(D1822,Products!$A:$F,6,FALSE)</f>
        <v>1</v>
      </c>
      <c r="N1822">
        <f>VLOOKUP(D1822,Products!$A:$F,4,FALSE)</f>
        <v>1219</v>
      </c>
      <c r="O1822" t="str">
        <f>VLOOKUP(C1822,Customers!$A:$F,5,FALSE)</f>
        <v>SMB</v>
      </c>
      <c r="P1822">
        <f>VLOOKUP(C1822,Customers!$A:$F,3,FALSE)</f>
        <v>29</v>
      </c>
      <c r="Q1822" t="str">
        <f>VLOOKUP(E1822,Sales_Reps!$A:$E,3,FALSE)</f>
        <v>West</v>
      </c>
      <c r="R1822" t="str">
        <f>VLOOKUP(E1822,Sales_Reps!$A:$E,2,FALSE)</f>
        <v>Rekha Chopra</v>
      </c>
      <c r="S1822">
        <f t="shared" si="28"/>
        <v>0.46768558951965067</v>
      </c>
    </row>
    <row r="1823" spans="1:19" x14ac:dyDescent="0.3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  <c r="L1823" t="str">
        <f>VLOOKUP(D1823,Products!$A:$F,3,FALSE)</f>
        <v>Apparel</v>
      </c>
      <c r="M1823" t="b">
        <f>VLOOKUP(D1823,Products!$A:$F,6,FALSE)</f>
        <v>1</v>
      </c>
      <c r="N1823">
        <f>VLOOKUP(D1823,Products!$A:$F,4,FALSE)</f>
        <v>391</v>
      </c>
      <c r="O1823" t="str">
        <f>VLOOKUP(C1823,Customers!$A:$F,5,FALSE)</f>
        <v>Retail</v>
      </c>
      <c r="P1823">
        <f>VLOOKUP(C1823,Customers!$A:$F,3,FALSE)</f>
        <v>26</v>
      </c>
      <c r="Q1823" t="str">
        <f>VLOOKUP(E1823,Sales_Reps!$A:$E,3,FALSE)</f>
        <v>West</v>
      </c>
      <c r="R1823" t="str">
        <f>VLOOKUP(E1823,Sales_Reps!$A:$E,2,FALSE)</f>
        <v>Ramesh Bhatt</v>
      </c>
      <c r="S1823">
        <f t="shared" si="28"/>
        <v>0.52317073170731709</v>
      </c>
    </row>
    <row r="1824" spans="1:19" x14ac:dyDescent="0.3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  <c r="L1824" t="str">
        <f>VLOOKUP(D1824,Products!$A:$F,3,FALSE)</f>
        <v>Home</v>
      </c>
      <c r="M1824" t="b">
        <f>VLOOKUP(D1824,Products!$A:$F,6,FALSE)</f>
        <v>1</v>
      </c>
      <c r="N1824">
        <f>VLOOKUP(D1824,Products!$A:$F,4,FALSE)</f>
        <v>519</v>
      </c>
      <c r="O1824" t="str">
        <f>VLOOKUP(C1824,Customers!$A:$F,5,FALSE)</f>
        <v>SMB</v>
      </c>
      <c r="P1824">
        <f>VLOOKUP(C1824,Customers!$A:$F,3,FALSE)</f>
        <v>65</v>
      </c>
      <c r="Q1824" t="str">
        <f>VLOOKUP(E1824,Sales_Reps!$A:$E,3,FALSE)</f>
        <v>West</v>
      </c>
      <c r="R1824" t="str">
        <f>VLOOKUP(E1824,Sales_Reps!$A:$E,2,FALSE)</f>
        <v>Kiran Bhatt</v>
      </c>
      <c r="S1824">
        <f t="shared" si="28"/>
        <v>0.51944444444444449</v>
      </c>
    </row>
    <row r="1825" spans="1:19" x14ac:dyDescent="0.3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  <c r="L1825" t="str">
        <f>VLOOKUP(D1825,Products!$A:$F,3,FALSE)</f>
        <v>Sports</v>
      </c>
      <c r="M1825" t="b">
        <f>VLOOKUP(D1825,Products!$A:$F,6,FALSE)</f>
        <v>1</v>
      </c>
      <c r="N1825">
        <f>VLOOKUP(D1825,Products!$A:$F,4,FALSE)</f>
        <v>147</v>
      </c>
      <c r="O1825" t="str">
        <f>VLOOKUP(C1825,Customers!$A:$F,5,FALSE)</f>
        <v>SMB</v>
      </c>
      <c r="P1825">
        <f>VLOOKUP(C1825,Customers!$A:$F,3,FALSE)</f>
        <v>49</v>
      </c>
      <c r="Q1825" t="str">
        <f>VLOOKUP(E1825,Sales_Reps!$A:$E,3,FALSE)</f>
        <v>West</v>
      </c>
      <c r="R1825" t="str">
        <f>VLOOKUP(E1825,Sales_Reps!$A:$E,2,FALSE)</f>
        <v>Preeti Shah</v>
      </c>
      <c r="S1825">
        <f t="shared" si="28"/>
        <v>0.22631578947368422</v>
      </c>
    </row>
    <row r="1826" spans="1:19" x14ac:dyDescent="0.3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  <c r="L1826" t="str">
        <f>VLOOKUP(D1826,Products!$A:$F,3,FALSE)</f>
        <v>Apparel</v>
      </c>
      <c r="M1826" t="b">
        <f>VLOOKUP(D1826,Products!$A:$F,6,FALSE)</f>
        <v>0</v>
      </c>
      <c r="N1826">
        <f>VLOOKUP(D1826,Products!$A:$F,4,FALSE)</f>
        <v>1075</v>
      </c>
      <c r="O1826" t="str">
        <f>VLOOKUP(C1826,Customers!$A:$F,5,FALSE)</f>
        <v>SMB</v>
      </c>
      <c r="P1826">
        <f>VLOOKUP(C1826,Customers!$A:$F,3,FALSE)</f>
        <v>55</v>
      </c>
      <c r="Q1826" t="str">
        <f>VLOOKUP(E1826,Sales_Reps!$A:$E,3,FALSE)</f>
        <v>West</v>
      </c>
      <c r="R1826" t="str">
        <f>VLOOKUP(E1826,Sales_Reps!$A:$E,2,FALSE)</f>
        <v>Arun Iyer</v>
      </c>
      <c r="S1826">
        <f t="shared" si="28"/>
        <v>0.57171314741035861</v>
      </c>
    </row>
    <row r="1827" spans="1:19" x14ac:dyDescent="0.3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  <c r="L1827" t="str">
        <f>VLOOKUP(D1827,Products!$A:$F,3,FALSE)</f>
        <v>Apparel</v>
      </c>
      <c r="M1827" t="b">
        <f>VLOOKUP(D1827,Products!$A:$F,6,FALSE)</f>
        <v>1</v>
      </c>
      <c r="N1827">
        <f>VLOOKUP(D1827,Products!$A:$F,4,FALSE)</f>
        <v>2629</v>
      </c>
      <c r="O1827" t="str">
        <f>VLOOKUP(C1827,Customers!$A:$F,5,FALSE)</f>
        <v>Retail</v>
      </c>
      <c r="P1827">
        <f>VLOOKUP(C1827,Customers!$A:$F,3,FALSE)</f>
        <v>36</v>
      </c>
      <c r="Q1827" t="str">
        <f>VLOOKUP(E1827,Sales_Reps!$A:$E,3,FALSE)</f>
        <v>South</v>
      </c>
      <c r="R1827" t="str">
        <f>VLOOKUP(E1827,Sales_Reps!$A:$E,2,FALSE)</f>
        <v>Deepak Shah</v>
      </c>
      <c r="S1827">
        <f t="shared" si="28"/>
        <v>0.26151685393258428</v>
      </c>
    </row>
    <row r="1828" spans="1:19" x14ac:dyDescent="0.3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  <c r="L1828" t="str">
        <f>VLOOKUP(D1828,Products!$A:$F,3,FALSE)</f>
        <v>Apparel</v>
      </c>
      <c r="M1828" t="b">
        <f>VLOOKUP(D1828,Products!$A:$F,6,FALSE)</f>
        <v>1</v>
      </c>
      <c r="N1828">
        <f>VLOOKUP(D1828,Products!$A:$F,4,FALSE)</f>
        <v>391</v>
      </c>
      <c r="O1828" t="str">
        <f>VLOOKUP(C1828,Customers!$A:$F,5,FALSE)</f>
        <v>Corporate</v>
      </c>
      <c r="P1828">
        <f>VLOOKUP(C1828,Customers!$A:$F,3,FALSE)</f>
        <v>41</v>
      </c>
      <c r="Q1828" t="str">
        <f>VLOOKUP(E1828,Sales_Reps!$A:$E,3,FALSE)</f>
        <v>South</v>
      </c>
      <c r="R1828" t="str">
        <f>VLOOKUP(E1828,Sales_Reps!$A:$E,2,FALSE)</f>
        <v>Sanjay Kapoor</v>
      </c>
      <c r="S1828">
        <f t="shared" si="28"/>
        <v>0.52317073170731709</v>
      </c>
    </row>
    <row r="1829" spans="1:19" x14ac:dyDescent="0.3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  <c r="L1829" t="str">
        <f>VLOOKUP(D1829,Products!$A:$F,3,FALSE)</f>
        <v>Apparel</v>
      </c>
      <c r="M1829" t="b">
        <f>VLOOKUP(D1829,Products!$A:$F,6,FALSE)</f>
        <v>1</v>
      </c>
      <c r="N1829">
        <f>VLOOKUP(D1829,Products!$A:$F,4,FALSE)</f>
        <v>2611</v>
      </c>
      <c r="O1829" t="str">
        <f>VLOOKUP(C1829,Customers!$A:$F,5,FALSE)</f>
        <v>Corporate</v>
      </c>
      <c r="P1829">
        <f>VLOOKUP(C1829,Customers!$A:$F,3,FALSE)</f>
        <v>42</v>
      </c>
      <c r="Q1829" t="str">
        <f>VLOOKUP(E1829,Sales_Reps!$A:$E,3,FALSE)</f>
        <v>North</v>
      </c>
      <c r="R1829" t="str">
        <f>VLOOKUP(E1829,Sales_Reps!$A:$E,2,FALSE)</f>
        <v>Amit Singh</v>
      </c>
      <c r="S1829">
        <f t="shared" si="28"/>
        <v>0.28269230769230769</v>
      </c>
    </row>
    <row r="1830" spans="1:19" x14ac:dyDescent="0.3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  <c r="L1830" t="str">
        <f>VLOOKUP(D1830,Products!$A:$F,3,FALSE)</f>
        <v>Grocery</v>
      </c>
      <c r="M1830" t="b">
        <f>VLOOKUP(D1830,Products!$A:$F,6,FALSE)</f>
        <v>0</v>
      </c>
      <c r="N1830">
        <f>VLOOKUP(D1830,Products!$A:$F,4,FALSE)</f>
        <v>2214</v>
      </c>
      <c r="O1830" t="str">
        <f>VLOOKUP(C1830,Customers!$A:$F,5,FALSE)</f>
        <v>Retail</v>
      </c>
      <c r="P1830">
        <f>VLOOKUP(C1830,Customers!$A:$F,3,FALSE)</f>
        <v>54</v>
      </c>
      <c r="Q1830" t="str">
        <f>VLOOKUP(E1830,Sales_Reps!$A:$E,3,FALSE)</f>
        <v>East</v>
      </c>
      <c r="R1830" t="str">
        <f>VLOOKUP(E1830,Sales_Reps!$A:$E,2,FALSE)</f>
        <v>Prakash Shah</v>
      </c>
      <c r="S1830">
        <f t="shared" si="28"/>
        <v>0.39508196721311473</v>
      </c>
    </row>
    <row r="1831" spans="1:19" x14ac:dyDescent="0.3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  <c r="L1831" t="str">
        <f>VLOOKUP(D1831,Products!$A:$F,3,FALSE)</f>
        <v>Sports</v>
      </c>
      <c r="M1831" t="b">
        <f>VLOOKUP(D1831,Products!$A:$F,6,FALSE)</f>
        <v>1</v>
      </c>
      <c r="N1831">
        <f>VLOOKUP(D1831,Products!$A:$F,4,FALSE)</f>
        <v>2028</v>
      </c>
      <c r="O1831" t="str">
        <f>VLOOKUP(C1831,Customers!$A:$F,5,FALSE)</f>
        <v>SMB</v>
      </c>
      <c r="P1831">
        <f>VLOOKUP(C1831,Customers!$A:$F,3,FALSE)</f>
        <v>29</v>
      </c>
      <c r="Q1831" t="str">
        <f>VLOOKUP(E1831,Sales_Reps!$A:$E,3,FALSE)</f>
        <v>West</v>
      </c>
      <c r="R1831" t="str">
        <f>VLOOKUP(E1831,Sales_Reps!$A:$E,2,FALSE)</f>
        <v>Kiran Bhatt</v>
      </c>
      <c r="S1831">
        <f t="shared" si="28"/>
        <v>0.29090909090909089</v>
      </c>
    </row>
    <row r="1832" spans="1:19" x14ac:dyDescent="0.3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  <c r="L1832" t="str">
        <f>VLOOKUP(D1832,Products!$A:$F,3,FALSE)</f>
        <v>Apparel</v>
      </c>
      <c r="M1832" t="b">
        <f>VLOOKUP(D1832,Products!$A:$F,6,FALSE)</f>
        <v>1</v>
      </c>
      <c r="N1832">
        <f>VLOOKUP(D1832,Products!$A:$F,4,FALSE)</f>
        <v>1962</v>
      </c>
      <c r="O1832" t="str">
        <f>VLOOKUP(C1832,Customers!$A:$F,5,FALSE)</f>
        <v>Retail</v>
      </c>
      <c r="P1832">
        <f>VLOOKUP(C1832,Customers!$A:$F,3,FALSE)</f>
        <v>43</v>
      </c>
      <c r="Q1832" t="str">
        <f>VLOOKUP(E1832,Sales_Reps!$A:$E,3,FALSE)</f>
        <v>East</v>
      </c>
      <c r="R1832" t="str">
        <f>VLOOKUP(E1832,Sales_Reps!$A:$E,2,FALSE)</f>
        <v>Prakash Shah</v>
      </c>
      <c r="S1832">
        <f t="shared" si="28"/>
        <v>0.2786764705882353</v>
      </c>
    </row>
    <row r="1833" spans="1:19" x14ac:dyDescent="0.3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  <c r="L1833" t="str">
        <f>VLOOKUP(D1833,Products!$A:$F,3,FALSE)</f>
        <v>Sports</v>
      </c>
      <c r="M1833" t="b">
        <f>VLOOKUP(D1833,Products!$A:$F,6,FALSE)</f>
        <v>1</v>
      </c>
      <c r="N1833">
        <f>VLOOKUP(D1833,Products!$A:$F,4,FALSE)</f>
        <v>2028</v>
      </c>
      <c r="O1833" t="str">
        <f>VLOOKUP(C1833,Customers!$A:$F,5,FALSE)</f>
        <v>Retail</v>
      </c>
      <c r="P1833">
        <f>VLOOKUP(C1833,Customers!$A:$F,3,FALSE)</f>
        <v>46</v>
      </c>
      <c r="Q1833" t="str">
        <f>VLOOKUP(E1833,Sales_Reps!$A:$E,3,FALSE)</f>
        <v>North</v>
      </c>
      <c r="R1833" t="str">
        <f>VLOOKUP(E1833,Sales_Reps!$A:$E,2,FALSE)</f>
        <v>Priya Singh</v>
      </c>
      <c r="S1833">
        <f t="shared" si="28"/>
        <v>0.29090909090909089</v>
      </c>
    </row>
    <row r="1834" spans="1:19" x14ac:dyDescent="0.3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  <c r="L1834" t="str">
        <f>VLOOKUP(D1834,Products!$A:$F,3,FALSE)</f>
        <v>Apparel</v>
      </c>
      <c r="M1834" t="b">
        <f>VLOOKUP(D1834,Products!$A:$F,6,FALSE)</f>
        <v>0</v>
      </c>
      <c r="N1834">
        <f>VLOOKUP(D1834,Products!$A:$F,4,FALSE)</f>
        <v>1075</v>
      </c>
      <c r="O1834" t="str">
        <f>VLOOKUP(C1834,Customers!$A:$F,5,FALSE)</f>
        <v>Retail</v>
      </c>
      <c r="P1834">
        <f>VLOOKUP(C1834,Customers!$A:$F,3,FALSE)</f>
        <v>37</v>
      </c>
      <c r="Q1834" t="str">
        <f>VLOOKUP(E1834,Sales_Reps!$A:$E,3,FALSE)</f>
        <v>East</v>
      </c>
      <c r="R1834" t="str">
        <f>VLOOKUP(E1834,Sales_Reps!$A:$E,2,FALSE)</f>
        <v>Meera Iyer</v>
      </c>
      <c r="S1834">
        <f t="shared" si="28"/>
        <v>0.57171314741035861</v>
      </c>
    </row>
    <row r="1835" spans="1:19" x14ac:dyDescent="0.3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  <c r="L1835" t="str">
        <f>VLOOKUP(D1835,Products!$A:$F,3,FALSE)</f>
        <v>Apparel</v>
      </c>
      <c r="M1835" t="b">
        <f>VLOOKUP(D1835,Products!$A:$F,6,FALSE)</f>
        <v>0</v>
      </c>
      <c r="N1835">
        <f>VLOOKUP(D1835,Products!$A:$F,4,FALSE)</f>
        <v>1075</v>
      </c>
      <c r="O1835" t="str">
        <f>VLOOKUP(C1835,Customers!$A:$F,5,FALSE)</f>
        <v>SMB</v>
      </c>
      <c r="P1835">
        <f>VLOOKUP(C1835,Customers!$A:$F,3,FALSE)</f>
        <v>59</v>
      </c>
      <c r="Q1835" t="str">
        <f>VLOOKUP(E1835,Sales_Reps!$A:$E,3,FALSE)</f>
        <v>East</v>
      </c>
      <c r="R1835" t="str">
        <f>VLOOKUP(E1835,Sales_Reps!$A:$E,2,FALSE)</f>
        <v>Meera Iyer</v>
      </c>
      <c r="S1835">
        <f t="shared" si="28"/>
        <v>0.57171314741035861</v>
      </c>
    </row>
    <row r="1836" spans="1:19" x14ac:dyDescent="0.3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  <c r="L1836" t="str">
        <f>VLOOKUP(D1836,Products!$A:$F,3,FALSE)</f>
        <v>Beauty</v>
      </c>
      <c r="M1836" t="b">
        <f>VLOOKUP(D1836,Products!$A:$F,6,FALSE)</f>
        <v>1</v>
      </c>
      <c r="N1836">
        <f>VLOOKUP(D1836,Products!$A:$F,4,FALSE)</f>
        <v>675</v>
      </c>
      <c r="O1836" t="str">
        <f>VLOOKUP(C1836,Customers!$A:$F,5,FALSE)</f>
        <v>Retail</v>
      </c>
      <c r="P1836">
        <f>VLOOKUP(C1836,Customers!$A:$F,3,FALSE)</f>
        <v>49</v>
      </c>
      <c r="Q1836" t="str">
        <f>VLOOKUP(E1836,Sales_Reps!$A:$E,3,FALSE)</f>
        <v>North</v>
      </c>
      <c r="R1836" t="str">
        <f>VLOOKUP(E1836,Sales_Reps!$A:$E,2,FALSE)</f>
        <v>Vikram Patel</v>
      </c>
      <c r="S1836">
        <f t="shared" si="28"/>
        <v>0.296875</v>
      </c>
    </row>
    <row r="1837" spans="1:19" x14ac:dyDescent="0.3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  <c r="L1837" t="str">
        <f>VLOOKUP(D1837,Products!$A:$F,3,FALSE)</f>
        <v>Home</v>
      </c>
      <c r="M1837" t="b">
        <f>VLOOKUP(D1837,Products!$A:$F,6,FALSE)</f>
        <v>1</v>
      </c>
      <c r="N1837">
        <f>VLOOKUP(D1837,Products!$A:$F,4,FALSE)</f>
        <v>2549</v>
      </c>
      <c r="O1837" t="str">
        <f>VLOOKUP(C1837,Customers!$A:$F,5,FALSE)</f>
        <v>SMB</v>
      </c>
      <c r="P1837">
        <f>VLOOKUP(C1837,Customers!$A:$F,3,FALSE)</f>
        <v>39</v>
      </c>
      <c r="Q1837" t="str">
        <f>VLOOKUP(E1837,Sales_Reps!$A:$E,3,FALSE)</f>
        <v>South</v>
      </c>
      <c r="R1837" t="str">
        <f>VLOOKUP(E1837,Sales_Reps!$A:$E,2,FALSE)</f>
        <v>Divya Rao</v>
      </c>
      <c r="S1837">
        <f t="shared" si="28"/>
        <v>0.53570127504553733</v>
      </c>
    </row>
    <row r="1838" spans="1:19" x14ac:dyDescent="0.3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  <c r="L1838" t="str">
        <f>VLOOKUP(D1838,Products!$A:$F,3,FALSE)</f>
        <v>Apparel</v>
      </c>
      <c r="M1838" t="b">
        <f>VLOOKUP(D1838,Products!$A:$F,6,FALSE)</f>
        <v>0</v>
      </c>
      <c r="N1838">
        <f>VLOOKUP(D1838,Products!$A:$F,4,FALSE)</f>
        <v>1075</v>
      </c>
      <c r="O1838" t="str">
        <f>VLOOKUP(C1838,Customers!$A:$F,5,FALSE)</f>
        <v>Retail</v>
      </c>
      <c r="P1838">
        <f>VLOOKUP(C1838,Customers!$A:$F,3,FALSE)</f>
        <v>54</v>
      </c>
      <c r="Q1838" t="str">
        <f>VLOOKUP(E1838,Sales_Reps!$A:$E,3,FALSE)</f>
        <v>North</v>
      </c>
      <c r="R1838" t="str">
        <f>VLOOKUP(E1838,Sales_Reps!$A:$E,2,FALSE)</f>
        <v>Neha Desai</v>
      </c>
      <c r="S1838">
        <f t="shared" si="28"/>
        <v>0.57171314741035861</v>
      </c>
    </row>
    <row r="1839" spans="1:19" x14ac:dyDescent="0.3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  <c r="L1839" t="str">
        <f>VLOOKUP(D1839,Products!$A:$F,3,FALSE)</f>
        <v>Apparel</v>
      </c>
      <c r="M1839" t="b">
        <f>VLOOKUP(D1839,Products!$A:$F,6,FALSE)</f>
        <v>1</v>
      </c>
      <c r="N1839">
        <f>VLOOKUP(D1839,Products!$A:$F,4,FALSE)</f>
        <v>391</v>
      </c>
      <c r="O1839" t="str">
        <f>VLOOKUP(C1839,Customers!$A:$F,5,FALSE)</f>
        <v>Retail</v>
      </c>
      <c r="P1839">
        <f>VLOOKUP(C1839,Customers!$A:$F,3,FALSE)</f>
        <v>63</v>
      </c>
      <c r="Q1839" t="str">
        <f>VLOOKUP(E1839,Sales_Reps!$A:$E,3,FALSE)</f>
        <v>South</v>
      </c>
      <c r="R1839" t="str">
        <f>VLOOKUP(E1839,Sales_Reps!$A:$E,2,FALSE)</f>
        <v>Anil Verma</v>
      </c>
      <c r="S1839">
        <f t="shared" si="28"/>
        <v>0.52317073170731709</v>
      </c>
    </row>
    <row r="1840" spans="1:19" x14ac:dyDescent="0.3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  <c r="L1840" t="str">
        <f>VLOOKUP(D1840,Products!$A:$F,3,FALSE)</f>
        <v>Electronics</v>
      </c>
      <c r="M1840" t="b">
        <f>VLOOKUP(D1840,Products!$A:$F,6,FALSE)</f>
        <v>1</v>
      </c>
      <c r="N1840">
        <f>VLOOKUP(D1840,Products!$A:$F,4,FALSE)</f>
        <v>128</v>
      </c>
      <c r="O1840" t="str">
        <f>VLOOKUP(C1840,Customers!$A:$F,5,FALSE)</f>
        <v>SMB</v>
      </c>
      <c r="P1840">
        <f>VLOOKUP(C1840,Customers!$A:$F,3,FALSE)</f>
        <v>22</v>
      </c>
      <c r="Q1840" t="str">
        <f>VLOOKUP(E1840,Sales_Reps!$A:$E,3,FALSE)</f>
        <v>East</v>
      </c>
      <c r="R1840" t="str">
        <f>VLOOKUP(E1840,Sales_Reps!$A:$E,2,FALSE)</f>
        <v>Shalini Patel</v>
      </c>
      <c r="S1840">
        <f t="shared" si="28"/>
        <v>0.57333333333333336</v>
      </c>
    </row>
    <row r="1841" spans="1:19" x14ac:dyDescent="0.3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  <c r="L1841" t="str">
        <f>VLOOKUP(D1841,Products!$A:$F,3,FALSE)</f>
        <v>Beauty</v>
      </c>
      <c r="M1841" t="b">
        <f>VLOOKUP(D1841,Products!$A:$F,6,FALSE)</f>
        <v>1</v>
      </c>
      <c r="N1841">
        <f>VLOOKUP(D1841,Products!$A:$F,4,FALSE)</f>
        <v>1728</v>
      </c>
      <c r="O1841" t="str">
        <f>VLOOKUP(C1841,Customers!$A:$F,5,FALSE)</f>
        <v>Retail</v>
      </c>
      <c r="P1841">
        <f>VLOOKUP(C1841,Customers!$A:$F,3,FALSE)</f>
        <v>36</v>
      </c>
      <c r="Q1841" t="str">
        <f>VLOOKUP(E1841,Sales_Reps!$A:$E,3,FALSE)</f>
        <v>South</v>
      </c>
      <c r="R1841" t="str">
        <f>VLOOKUP(E1841,Sales_Reps!$A:$E,2,FALSE)</f>
        <v>Anjali Chopra</v>
      </c>
      <c r="S1841">
        <f t="shared" si="28"/>
        <v>0.48417910447761192</v>
      </c>
    </row>
    <row r="1842" spans="1:19" x14ac:dyDescent="0.3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  <c r="L1842" t="str">
        <f>VLOOKUP(D1842,Products!$A:$F,3,FALSE)</f>
        <v>Home</v>
      </c>
      <c r="M1842" t="b">
        <f>VLOOKUP(D1842,Products!$A:$F,6,FALSE)</f>
        <v>1</v>
      </c>
      <c r="N1842">
        <f>VLOOKUP(D1842,Products!$A:$F,4,FALSE)</f>
        <v>1556</v>
      </c>
      <c r="O1842" t="str">
        <f>VLOOKUP(C1842,Customers!$A:$F,5,FALSE)</f>
        <v>Retail</v>
      </c>
      <c r="P1842">
        <f>VLOOKUP(C1842,Customers!$A:$F,3,FALSE)</f>
        <v>62</v>
      </c>
      <c r="Q1842" t="str">
        <f>VLOOKUP(E1842,Sales_Reps!$A:$E,3,FALSE)</f>
        <v>West</v>
      </c>
      <c r="R1842" t="str">
        <f>VLOOKUP(E1842,Sales_Reps!$A:$E,2,FALSE)</f>
        <v>Ashok Reddy</v>
      </c>
      <c r="S1842">
        <f t="shared" si="28"/>
        <v>0.52123076923076928</v>
      </c>
    </row>
    <row r="1843" spans="1:19" x14ac:dyDescent="0.3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  <c r="L1843" t="str">
        <f>VLOOKUP(D1843,Products!$A:$F,3,FALSE)</f>
        <v>Beauty</v>
      </c>
      <c r="M1843" t="b">
        <f>VLOOKUP(D1843,Products!$A:$F,6,FALSE)</f>
        <v>1</v>
      </c>
      <c r="N1843">
        <f>VLOOKUP(D1843,Products!$A:$F,4,FALSE)</f>
        <v>1222</v>
      </c>
      <c r="O1843" t="str">
        <f>VLOOKUP(C1843,Customers!$A:$F,5,FALSE)</f>
        <v>SMB</v>
      </c>
      <c r="P1843">
        <f>VLOOKUP(C1843,Customers!$A:$F,3,FALSE)</f>
        <v>46</v>
      </c>
      <c r="Q1843" t="str">
        <f>VLOOKUP(E1843,Sales_Reps!$A:$E,3,FALSE)</f>
        <v>West</v>
      </c>
      <c r="R1843" t="str">
        <f>VLOOKUP(E1843,Sales_Reps!$A:$E,2,FALSE)</f>
        <v>Ramesh Bhatt</v>
      </c>
      <c r="S1843">
        <f t="shared" si="28"/>
        <v>0.2593939393939394</v>
      </c>
    </row>
    <row r="1844" spans="1:19" x14ac:dyDescent="0.3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  <c r="L1844" t="str">
        <f>VLOOKUP(D1844,Products!$A:$F,3,FALSE)</f>
        <v>Electronics</v>
      </c>
      <c r="M1844" t="b">
        <f>VLOOKUP(D1844,Products!$A:$F,6,FALSE)</f>
        <v>1</v>
      </c>
      <c r="N1844">
        <f>VLOOKUP(D1844,Products!$A:$F,4,FALSE)</f>
        <v>517</v>
      </c>
      <c r="O1844" t="str">
        <f>VLOOKUP(C1844,Customers!$A:$F,5,FALSE)</f>
        <v>Retail</v>
      </c>
      <c r="P1844">
        <f>VLOOKUP(C1844,Customers!$A:$F,3,FALSE)</f>
        <v>32</v>
      </c>
      <c r="Q1844" t="str">
        <f>VLOOKUP(E1844,Sales_Reps!$A:$E,3,FALSE)</f>
        <v>West</v>
      </c>
      <c r="R1844" t="str">
        <f>VLOOKUP(E1844,Sales_Reps!$A:$E,2,FALSE)</f>
        <v>Sonia Malhotra</v>
      </c>
      <c r="S1844">
        <f t="shared" si="28"/>
        <v>0.57622950819672136</v>
      </c>
    </row>
    <row r="1845" spans="1:19" x14ac:dyDescent="0.3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  <c r="L1845" t="str">
        <f>VLOOKUP(D1845,Products!$A:$F,3,FALSE)</f>
        <v>Beauty</v>
      </c>
      <c r="M1845" t="b">
        <f>VLOOKUP(D1845,Products!$A:$F,6,FALSE)</f>
        <v>1</v>
      </c>
      <c r="N1845">
        <f>VLOOKUP(D1845,Products!$A:$F,4,FALSE)</f>
        <v>675</v>
      </c>
      <c r="O1845" t="str">
        <f>VLOOKUP(C1845,Customers!$A:$F,5,FALSE)</f>
        <v>Retail</v>
      </c>
      <c r="P1845">
        <f>VLOOKUP(C1845,Customers!$A:$F,3,FALSE)</f>
        <v>46</v>
      </c>
      <c r="Q1845" t="str">
        <f>VLOOKUP(E1845,Sales_Reps!$A:$E,3,FALSE)</f>
        <v>West</v>
      </c>
      <c r="R1845" t="str">
        <f>VLOOKUP(E1845,Sales_Reps!$A:$E,2,FALSE)</f>
        <v>Sonia Malhotra</v>
      </c>
      <c r="S1845">
        <f t="shared" si="28"/>
        <v>0.296875</v>
      </c>
    </row>
    <row r="1846" spans="1:19" x14ac:dyDescent="0.3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  <c r="L1846" t="str">
        <f>VLOOKUP(D1846,Products!$A:$F,3,FALSE)</f>
        <v>Beauty</v>
      </c>
      <c r="M1846" t="b">
        <f>VLOOKUP(D1846,Products!$A:$F,6,FALSE)</f>
        <v>1</v>
      </c>
      <c r="N1846">
        <f>VLOOKUP(D1846,Products!$A:$F,4,FALSE)</f>
        <v>2768</v>
      </c>
      <c r="O1846" t="str">
        <f>VLOOKUP(C1846,Customers!$A:$F,5,FALSE)</f>
        <v>SMB</v>
      </c>
      <c r="P1846">
        <f>VLOOKUP(C1846,Customers!$A:$F,3,FALSE)</f>
        <v>43</v>
      </c>
      <c r="Q1846" t="str">
        <f>VLOOKUP(E1846,Sales_Reps!$A:$E,3,FALSE)</f>
        <v>South</v>
      </c>
      <c r="R1846" t="str">
        <f>VLOOKUP(E1846,Sales_Reps!$A:$E,2,FALSE)</f>
        <v>Ritu Menon</v>
      </c>
      <c r="S1846">
        <f t="shared" si="28"/>
        <v>0.43278688524590164</v>
      </c>
    </row>
    <row r="1847" spans="1:19" x14ac:dyDescent="0.3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  <c r="L1847" t="str">
        <f>VLOOKUP(D1847,Products!$A:$F,3,FALSE)</f>
        <v>Grocery</v>
      </c>
      <c r="M1847" t="b">
        <f>VLOOKUP(D1847,Products!$A:$F,6,FALSE)</f>
        <v>1</v>
      </c>
      <c r="N1847">
        <f>VLOOKUP(D1847,Products!$A:$F,4,FALSE)</f>
        <v>1203</v>
      </c>
      <c r="O1847" t="str">
        <f>VLOOKUP(C1847,Customers!$A:$F,5,FALSE)</f>
        <v>SMB</v>
      </c>
      <c r="P1847">
        <f>VLOOKUP(C1847,Customers!$A:$F,3,FALSE)</f>
        <v>59</v>
      </c>
      <c r="Q1847" t="str">
        <f>VLOOKUP(E1847,Sales_Reps!$A:$E,3,FALSE)</f>
        <v>West</v>
      </c>
      <c r="R1847" t="str">
        <f>VLOOKUP(E1847,Sales_Reps!$A:$E,2,FALSE)</f>
        <v>Preeti Shah</v>
      </c>
      <c r="S1847">
        <f t="shared" si="28"/>
        <v>0.47004405286343615</v>
      </c>
    </row>
    <row r="1848" spans="1:19" x14ac:dyDescent="0.3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  <c r="L1848" t="str">
        <f>VLOOKUP(D1848,Products!$A:$F,3,FALSE)</f>
        <v>Home</v>
      </c>
      <c r="M1848" t="b">
        <f>VLOOKUP(D1848,Products!$A:$F,6,FALSE)</f>
        <v>1</v>
      </c>
      <c r="N1848">
        <f>VLOOKUP(D1848,Products!$A:$F,4,FALSE)</f>
        <v>464</v>
      </c>
      <c r="O1848" t="str">
        <f>VLOOKUP(C1848,Customers!$A:$F,5,FALSE)</f>
        <v>Retail</v>
      </c>
      <c r="P1848">
        <f>VLOOKUP(C1848,Customers!$A:$F,3,FALSE)</f>
        <v>44</v>
      </c>
      <c r="Q1848" t="str">
        <f>VLOOKUP(E1848,Sales_Reps!$A:$E,3,FALSE)</f>
        <v>West</v>
      </c>
      <c r="R1848" t="str">
        <f>VLOOKUP(E1848,Sales_Reps!$A:$E,2,FALSE)</f>
        <v>Preeti Shah</v>
      </c>
      <c r="S1848">
        <f t="shared" si="28"/>
        <v>0.57431192660550456</v>
      </c>
    </row>
    <row r="1849" spans="1:19" x14ac:dyDescent="0.3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  <c r="L1849" t="str">
        <f>VLOOKUP(D1849,Products!$A:$F,3,FALSE)</f>
        <v>Home</v>
      </c>
      <c r="M1849" t="b">
        <f>VLOOKUP(D1849,Products!$A:$F,6,FALSE)</f>
        <v>1</v>
      </c>
      <c r="N1849">
        <f>VLOOKUP(D1849,Products!$A:$F,4,FALSE)</f>
        <v>2459</v>
      </c>
      <c r="O1849" t="str">
        <f>VLOOKUP(C1849,Customers!$A:$F,5,FALSE)</f>
        <v>Retail</v>
      </c>
      <c r="P1849">
        <f>VLOOKUP(C1849,Customers!$A:$F,3,FALSE)</f>
        <v>28</v>
      </c>
      <c r="Q1849" t="str">
        <f>VLOOKUP(E1849,Sales_Reps!$A:$E,3,FALSE)</f>
        <v>West</v>
      </c>
      <c r="R1849" t="str">
        <f>VLOOKUP(E1849,Sales_Reps!$A:$E,2,FALSE)</f>
        <v>Arun Iyer</v>
      </c>
      <c r="S1849">
        <f t="shared" si="28"/>
        <v>0.51594488188976373</v>
      </c>
    </row>
    <row r="1850" spans="1:19" x14ac:dyDescent="0.3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  <c r="L1850" t="str">
        <f>VLOOKUP(D1850,Products!$A:$F,3,FALSE)</f>
        <v>Home</v>
      </c>
      <c r="M1850" t="b">
        <f>VLOOKUP(D1850,Products!$A:$F,6,FALSE)</f>
        <v>1</v>
      </c>
      <c r="N1850">
        <f>VLOOKUP(D1850,Products!$A:$F,4,FALSE)</f>
        <v>1850</v>
      </c>
      <c r="O1850" t="str">
        <f>VLOOKUP(C1850,Customers!$A:$F,5,FALSE)</f>
        <v>SMB</v>
      </c>
      <c r="P1850">
        <f>VLOOKUP(C1850,Customers!$A:$F,3,FALSE)</f>
        <v>59</v>
      </c>
      <c r="Q1850" t="str">
        <f>VLOOKUP(E1850,Sales_Reps!$A:$E,3,FALSE)</f>
        <v>East</v>
      </c>
      <c r="R1850" t="str">
        <f>VLOOKUP(E1850,Sales_Reps!$A:$E,2,FALSE)</f>
        <v>Naveen Singh</v>
      </c>
      <c r="S1850">
        <f t="shared" si="28"/>
        <v>0.59869848156182215</v>
      </c>
    </row>
    <row r="1851" spans="1:19" x14ac:dyDescent="0.3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  <c r="L1851" t="str">
        <f>VLOOKUP(D1851,Products!$A:$F,3,FALSE)</f>
        <v>Beauty</v>
      </c>
      <c r="M1851" t="b">
        <f>VLOOKUP(D1851,Products!$A:$F,6,FALSE)</f>
        <v>1</v>
      </c>
      <c r="N1851">
        <f>VLOOKUP(D1851,Products!$A:$F,4,FALSE)</f>
        <v>1626</v>
      </c>
      <c r="O1851" t="str">
        <f>VLOOKUP(C1851,Customers!$A:$F,5,FALSE)</f>
        <v>SMB</v>
      </c>
      <c r="P1851">
        <f>VLOOKUP(C1851,Customers!$A:$F,3,FALSE)</f>
        <v>65</v>
      </c>
      <c r="Q1851" t="str">
        <f>VLOOKUP(E1851,Sales_Reps!$A:$E,3,FALSE)</f>
        <v>West</v>
      </c>
      <c r="R1851" t="str">
        <f>VLOOKUP(E1851,Sales_Reps!$A:$E,2,FALSE)</f>
        <v>Preeti Shah</v>
      </c>
      <c r="S1851">
        <f t="shared" si="28"/>
        <v>0.46158940397350995</v>
      </c>
    </row>
    <row r="1852" spans="1:19" x14ac:dyDescent="0.3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  <c r="L1852" t="str">
        <f>VLOOKUP(D1852,Products!$A:$F,3,FALSE)</f>
        <v>Grocery</v>
      </c>
      <c r="M1852" t="b">
        <f>VLOOKUP(D1852,Products!$A:$F,6,FALSE)</f>
        <v>1</v>
      </c>
      <c r="N1852">
        <f>VLOOKUP(D1852,Products!$A:$F,4,FALSE)</f>
        <v>1412</v>
      </c>
      <c r="O1852" t="str">
        <f>VLOOKUP(C1852,Customers!$A:$F,5,FALSE)</f>
        <v>Retail</v>
      </c>
      <c r="P1852">
        <f>VLOOKUP(C1852,Customers!$A:$F,3,FALSE)</f>
        <v>43</v>
      </c>
      <c r="Q1852" t="str">
        <f>VLOOKUP(E1852,Sales_Reps!$A:$E,3,FALSE)</f>
        <v>West</v>
      </c>
      <c r="R1852" t="str">
        <f>VLOOKUP(E1852,Sales_Reps!$A:$E,2,FALSE)</f>
        <v>Preeti Shah</v>
      </c>
      <c r="S1852">
        <f t="shared" si="28"/>
        <v>0.37797356828193834</v>
      </c>
    </row>
    <row r="1853" spans="1:19" x14ac:dyDescent="0.3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  <c r="L1853" t="str">
        <f>VLOOKUP(D1853,Products!$A:$F,3,FALSE)</f>
        <v>Grocery</v>
      </c>
      <c r="M1853" t="b">
        <f>VLOOKUP(D1853,Products!$A:$F,6,FALSE)</f>
        <v>1</v>
      </c>
      <c r="N1853">
        <f>VLOOKUP(D1853,Products!$A:$F,4,FALSE)</f>
        <v>2027</v>
      </c>
      <c r="O1853" t="str">
        <f>VLOOKUP(C1853,Customers!$A:$F,5,FALSE)</f>
        <v>SMB</v>
      </c>
      <c r="P1853">
        <f>VLOOKUP(C1853,Customers!$A:$F,3,FALSE)</f>
        <v>39</v>
      </c>
      <c r="Q1853" t="str">
        <f>VLOOKUP(E1853,Sales_Reps!$A:$E,3,FALSE)</f>
        <v>South</v>
      </c>
      <c r="R1853" t="str">
        <f>VLOOKUP(E1853,Sales_Reps!$A:$E,2,FALSE)</f>
        <v>Divya Rao</v>
      </c>
      <c r="S1853">
        <f t="shared" si="28"/>
        <v>0.50196560196560192</v>
      </c>
    </row>
    <row r="1854" spans="1:19" x14ac:dyDescent="0.3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  <c r="L1854" t="str">
        <f>VLOOKUP(D1854,Products!$A:$F,3,FALSE)</f>
        <v>Electronics</v>
      </c>
      <c r="M1854" t="b">
        <f>VLOOKUP(D1854,Products!$A:$F,6,FALSE)</f>
        <v>1</v>
      </c>
      <c r="N1854">
        <f>VLOOKUP(D1854,Products!$A:$F,4,FALSE)</f>
        <v>517</v>
      </c>
      <c r="O1854" t="str">
        <f>VLOOKUP(C1854,Customers!$A:$F,5,FALSE)</f>
        <v>Corporate</v>
      </c>
      <c r="P1854">
        <f>VLOOKUP(C1854,Customers!$A:$F,3,FALSE)</f>
        <v>34</v>
      </c>
      <c r="Q1854" t="str">
        <f>VLOOKUP(E1854,Sales_Reps!$A:$E,3,FALSE)</f>
        <v>East</v>
      </c>
      <c r="R1854" t="str">
        <f>VLOOKUP(E1854,Sales_Reps!$A:$E,2,FALSE)</f>
        <v>Naveen Singh</v>
      </c>
      <c r="S1854">
        <f t="shared" si="28"/>
        <v>0.57622950819672136</v>
      </c>
    </row>
    <row r="1855" spans="1:19" x14ac:dyDescent="0.3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  <c r="L1855" t="str">
        <f>VLOOKUP(D1855,Products!$A:$F,3,FALSE)</f>
        <v>Apparel</v>
      </c>
      <c r="M1855" t="b">
        <f>VLOOKUP(D1855,Products!$A:$F,6,FALSE)</f>
        <v>1</v>
      </c>
      <c r="N1855">
        <f>VLOOKUP(D1855,Products!$A:$F,4,FALSE)</f>
        <v>1173</v>
      </c>
      <c r="O1855" t="str">
        <f>VLOOKUP(C1855,Customers!$A:$F,5,FALSE)</f>
        <v>Retail</v>
      </c>
      <c r="P1855">
        <f>VLOOKUP(C1855,Customers!$A:$F,3,FALSE)</f>
        <v>23</v>
      </c>
      <c r="Q1855" t="str">
        <f>VLOOKUP(E1855,Sales_Reps!$A:$E,3,FALSE)</f>
        <v>West</v>
      </c>
      <c r="R1855" t="str">
        <f>VLOOKUP(E1855,Sales_Reps!$A:$E,2,FALSE)</f>
        <v>Rekha Chopra</v>
      </c>
      <c r="S1855">
        <f t="shared" si="28"/>
        <v>0.52701612903225803</v>
      </c>
    </row>
    <row r="1856" spans="1:19" x14ac:dyDescent="0.3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  <c r="L1856" t="str">
        <f>VLOOKUP(D1856,Products!$A:$F,3,FALSE)</f>
        <v>Sports</v>
      </c>
      <c r="M1856" t="b">
        <f>VLOOKUP(D1856,Products!$A:$F,6,FALSE)</f>
        <v>1</v>
      </c>
      <c r="N1856">
        <f>VLOOKUP(D1856,Products!$A:$F,4,FALSE)</f>
        <v>2028</v>
      </c>
      <c r="O1856" t="str">
        <f>VLOOKUP(C1856,Customers!$A:$F,5,FALSE)</f>
        <v>Corporate</v>
      </c>
      <c r="P1856">
        <f>VLOOKUP(C1856,Customers!$A:$F,3,FALSE)</f>
        <v>37</v>
      </c>
      <c r="Q1856" t="str">
        <f>VLOOKUP(E1856,Sales_Reps!$A:$E,3,FALSE)</f>
        <v>North</v>
      </c>
      <c r="R1856" t="str">
        <f>VLOOKUP(E1856,Sales_Reps!$A:$E,2,FALSE)</f>
        <v>Suresh Menon</v>
      </c>
      <c r="S1856">
        <f t="shared" si="28"/>
        <v>0.29090909090909089</v>
      </c>
    </row>
    <row r="1857" spans="1:19" x14ac:dyDescent="0.3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  <c r="L1857" t="str">
        <f>VLOOKUP(D1857,Products!$A:$F,3,FALSE)</f>
        <v>Grocery</v>
      </c>
      <c r="M1857" t="b">
        <f>VLOOKUP(D1857,Products!$A:$F,6,FALSE)</f>
        <v>1</v>
      </c>
      <c r="N1857">
        <f>VLOOKUP(D1857,Products!$A:$F,4,FALSE)</f>
        <v>2436</v>
      </c>
      <c r="O1857" t="str">
        <f>VLOOKUP(C1857,Customers!$A:$F,5,FALSE)</f>
        <v>Retail</v>
      </c>
      <c r="P1857">
        <f>VLOOKUP(C1857,Customers!$A:$F,3,FALSE)</f>
        <v>31</v>
      </c>
      <c r="Q1857" t="str">
        <f>VLOOKUP(E1857,Sales_Reps!$A:$E,3,FALSE)</f>
        <v>West</v>
      </c>
      <c r="R1857" t="str">
        <f>VLOOKUP(E1857,Sales_Reps!$A:$E,2,FALSE)</f>
        <v>Rekha Chopra</v>
      </c>
      <c r="S1857">
        <f t="shared" si="28"/>
        <v>0.35555555555555557</v>
      </c>
    </row>
    <row r="1858" spans="1:19" x14ac:dyDescent="0.3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  <c r="L1858" t="str">
        <f>VLOOKUP(D1858,Products!$A:$F,3,FALSE)</f>
        <v>Sports</v>
      </c>
      <c r="M1858" t="b">
        <f>VLOOKUP(D1858,Products!$A:$F,6,FALSE)</f>
        <v>1</v>
      </c>
      <c r="N1858">
        <f>VLOOKUP(D1858,Products!$A:$F,4,FALSE)</f>
        <v>2028</v>
      </c>
      <c r="O1858" t="str">
        <f>VLOOKUP(C1858,Customers!$A:$F,5,FALSE)</f>
        <v>Corporate</v>
      </c>
      <c r="P1858">
        <f>VLOOKUP(C1858,Customers!$A:$F,3,FALSE)</f>
        <v>29</v>
      </c>
      <c r="Q1858" t="str">
        <f>VLOOKUP(E1858,Sales_Reps!$A:$E,3,FALSE)</f>
        <v>West</v>
      </c>
      <c r="R1858" t="str">
        <f>VLOOKUP(E1858,Sales_Reps!$A:$E,2,FALSE)</f>
        <v>Ashok Reddy</v>
      </c>
      <c r="S1858">
        <f t="shared" si="28"/>
        <v>0.29090909090909089</v>
      </c>
    </row>
    <row r="1859" spans="1:19" x14ac:dyDescent="0.3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  <c r="L1859" t="str">
        <f>VLOOKUP(D1859,Products!$A:$F,3,FALSE)</f>
        <v>Sports</v>
      </c>
      <c r="M1859" t="b">
        <f>VLOOKUP(D1859,Products!$A:$F,6,FALSE)</f>
        <v>1</v>
      </c>
      <c r="N1859">
        <f>VLOOKUP(D1859,Products!$A:$F,4,FALSE)</f>
        <v>974</v>
      </c>
      <c r="O1859" t="str">
        <f>VLOOKUP(C1859,Customers!$A:$F,5,FALSE)</f>
        <v>SMB</v>
      </c>
      <c r="P1859">
        <f>VLOOKUP(C1859,Customers!$A:$F,3,FALSE)</f>
        <v>29</v>
      </c>
      <c r="Q1859" t="str">
        <f>VLOOKUP(E1859,Sales_Reps!$A:$E,3,FALSE)</f>
        <v>West</v>
      </c>
      <c r="R1859" t="str">
        <f>VLOOKUP(E1859,Sales_Reps!$A:$E,2,FALSE)</f>
        <v>Ramesh Bhatt</v>
      </c>
      <c r="S1859">
        <f t="shared" ref="S1859:S1922" si="29">IFERROR((G1859-N1859)/G1859,"")</f>
        <v>0.59416666666666662</v>
      </c>
    </row>
    <row r="1860" spans="1:19" x14ac:dyDescent="0.3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  <c r="L1860" t="str">
        <f>VLOOKUP(D1860,Products!$A:$F,3,FALSE)</f>
        <v>Grocery</v>
      </c>
      <c r="M1860" t="b">
        <f>VLOOKUP(D1860,Products!$A:$F,6,FALSE)</f>
        <v>1</v>
      </c>
      <c r="N1860">
        <f>VLOOKUP(D1860,Products!$A:$F,4,FALSE)</f>
        <v>1182</v>
      </c>
      <c r="O1860" t="str">
        <f>VLOOKUP(C1860,Customers!$A:$F,5,FALSE)</f>
        <v>Retail</v>
      </c>
      <c r="P1860">
        <f>VLOOKUP(C1860,Customers!$A:$F,3,FALSE)</f>
        <v>54</v>
      </c>
      <c r="Q1860" t="str">
        <f>VLOOKUP(E1860,Sales_Reps!$A:$E,3,FALSE)</f>
        <v>West</v>
      </c>
      <c r="R1860" t="str">
        <f>VLOOKUP(E1860,Sales_Reps!$A:$E,2,FALSE)</f>
        <v>Ashok Reddy</v>
      </c>
      <c r="S1860">
        <f t="shared" si="29"/>
        <v>0.50336134453781511</v>
      </c>
    </row>
    <row r="1861" spans="1:19" x14ac:dyDescent="0.3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  <c r="L1861" t="str">
        <f>VLOOKUP(D1861,Products!$A:$F,3,FALSE)</f>
        <v>Beauty</v>
      </c>
      <c r="M1861" t="b">
        <f>VLOOKUP(D1861,Products!$A:$F,6,FALSE)</f>
        <v>1</v>
      </c>
      <c r="N1861">
        <f>VLOOKUP(D1861,Products!$A:$F,4,FALSE)</f>
        <v>2237</v>
      </c>
      <c r="O1861" t="str">
        <f>VLOOKUP(C1861,Customers!$A:$F,5,FALSE)</f>
        <v>Retail</v>
      </c>
      <c r="P1861">
        <f>VLOOKUP(C1861,Customers!$A:$F,3,FALSE)</f>
        <v>29</v>
      </c>
      <c r="Q1861" t="str">
        <f>VLOOKUP(E1861,Sales_Reps!$A:$E,3,FALSE)</f>
        <v>North</v>
      </c>
      <c r="R1861" t="str">
        <f>VLOOKUP(E1861,Sales_Reps!$A:$E,2,FALSE)</f>
        <v>Neha Desai</v>
      </c>
      <c r="S1861">
        <f t="shared" si="29"/>
        <v>0.56137254901960787</v>
      </c>
    </row>
    <row r="1862" spans="1:19" x14ac:dyDescent="0.3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  <c r="L1862" t="str">
        <f>VLOOKUP(D1862,Products!$A:$F,3,FALSE)</f>
        <v>Electronics</v>
      </c>
      <c r="M1862" t="b">
        <f>VLOOKUP(D1862,Products!$A:$F,6,FALSE)</f>
        <v>1</v>
      </c>
      <c r="N1862">
        <f>VLOOKUP(D1862,Products!$A:$F,4,FALSE)</f>
        <v>128</v>
      </c>
      <c r="O1862" t="str">
        <f>VLOOKUP(C1862,Customers!$A:$F,5,FALSE)</f>
        <v>Corporate</v>
      </c>
      <c r="P1862">
        <f>VLOOKUP(C1862,Customers!$A:$F,3,FALSE)</f>
        <v>29</v>
      </c>
      <c r="Q1862" t="str">
        <f>VLOOKUP(E1862,Sales_Reps!$A:$E,3,FALSE)</f>
        <v>South</v>
      </c>
      <c r="R1862" t="str">
        <f>VLOOKUP(E1862,Sales_Reps!$A:$E,2,FALSE)</f>
        <v>Deepak Shah</v>
      </c>
      <c r="S1862">
        <f t="shared" si="29"/>
        <v>0.57333333333333336</v>
      </c>
    </row>
    <row r="1863" spans="1:19" x14ac:dyDescent="0.3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  <c r="L1863" t="str">
        <f>VLOOKUP(D1863,Products!$A:$F,3,FALSE)</f>
        <v>Sports</v>
      </c>
      <c r="M1863" t="b">
        <f>VLOOKUP(D1863,Products!$A:$F,6,FALSE)</f>
        <v>1</v>
      </c>
      <c r="N1863">
        <f>VLOOKUP(D1863,Products!$A:$F,4,FALSE)</f>
        <v>2467</v>
      </c>
      <c r="O1863" t="str">
        <f>VLOOKUP(C1863,Customers!$A:$F,5,FALSE)</f>
        <v>SMB</v>
      </c>
      <c r="P1863">
        <f>VLOOKUP(C1863,Customers!$A:$F,3,FALSE)</f>
        <v>27</v>
      </c>
      <c r="Q1863" t="str">
        <f>VLOOKUP(E1863,Sales_Reps!$A:$E,3,FALSE)</f>
        <v>South</v>
      </c>
      <c r="R1863" t="str">
        <f>VLOOKUP(E1863,Sales_Reps!$A:$E,2,FALSE)</f>
        <v>Divya Rao</v>
      </c>
      <c r="S1863">
        <f t="shared" si="29"/>
        <v>0.28492753623188405</v>
      </c>
    </row>
    <row r="1864" spans="1:19" x14ac:dyDescent="0.3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  <c r="L1864" t="str">
        <f>VLOOKUP(D1864,Products!$A:$F,3,FALSE)</f>
        <v>Sports</v>
      </c>
      <c r="M1864" t="b">
        <f>VLOOKUP(D1864,Products!$A:$F,6,FALSE)</f>
        <v>1</v>
      </c>
      <c r="N1864">
        <f>VLOOKUP(D1864,Products!$A:$F,4,FALSE)</f>
        <v>2028</v>
      </c>
      <c r="O1864" t="str">
        <f>VLOOKUP(C1864,Customers!$A:$F,5,FALSE)</f>
        <v>Retail</v>
      </c>
      <c r="P1864">
        <f>VLOOKUP(C1864,Customers!$A:$F,3,FALSE)</f>
        <v>35</v>
      </c>
      <c r="Q1864" t="str">
        <f>VLOOKUP(E1864,Sales_Reps!$A:$E,3,FALSE)</f>
        <v>South</v>
      </c>
      <c r="R1864" t="str">
        <f>VLOOKUP(E1864,Sales_Reps!$A:$E,2,FALSE)</f>
        <v>Ritu Menon</v>
      </c>
      <c r="S1864">
        <f t="shared" si="29"/>
        <v>0.29090909090909089</v>
      </c>
    </row>
    <row r="1865" spans="1:19" x14ac:dyDescent="0.3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  <c r="L1865" t="str">
        <f>VLOOKUP(D1865,Products!$A:$F,3,FALSE)</f>
        <v>Apparel</v>
      </c>
      <c r="M1865" t="b">
        <f>VLOOKUP(D1865,Products!$A:$F,6,FALSE)</f>
        <v>1</v>
      </c>
      <c r="N1865">
        <f>VLOOKUP(D1865,Products!$A:$F,4,FALSE)</f>
        <v>1962</v>
      </c>
      <c r="O1865" t="str">
        <f>VLOOKUP(C1865,Customers!$A:$F,5,FALSE)</f>
        <v>Retail</v>
      </c>
      <c r="P1865">
        <f>VLOOKUP(C1865,Customers!$A:$F,3,FALSE)</f>
        <v>44</v>
      </c>
      <c r="Q1865" t="str">
        <f>VLOOKUP(E1865,Sales_Reps!$A:$E,3,FALSE)</f>
        <v>North</v>
      </c>
      <c r="R1865" t="str">
        <f>VLOOKUP(E1865,Sales_Reps!$A:$E,2,FALSE)</f>
        <v>Rajesh Malhotra</v>
      </c>
      <c r="S1865">
        <f t="shared" si="29"/>
        <v>0.2786764705882353</v>
      </c>
    </row>
    <row r="1866" spans="1:19" x14ac:dyDescent="0.3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  <c r="L1866" t="str">
        <f>VLOOKUP(D1866,Products!$A:$F,3,FALSE)</f>
        <v>Home</v>
      </c>
      <c r="M1866" t="b">
        <f>VLOOKUP(D1866,Products!$A:$F,6,FALSE)</f>
        <v>1</v>
      </c>
      <c r="N1866">
        <f>VLOOKUP(D1866,Products!$A:$F,4,FALSE)</f>
        <v>2135</v>
      </c>
      <c r="O1866" t="str">
        <f>VLOOKUP(C1866,Customers!$A:$F,5,FALSE)</f>
        <v>Corporate</v>
      </c>
      <c r="P1866">
        <f>VLOOKUP(C1866,Customers!$A:$F,3,FALSE)</f>
        <v>51</v>
      </c>
      <c r="Q1866" t="str">
        <f>VLOOKUP(E1866,Sales_Reps!$A:$E,3,FALSE)</f>
        <v>West</v>
      </c>
      <c r="R1866" t="str">
        <f>VLOOKUP(E1866,Sales_Reps!$A:$E,2,FALSE)</f>
        <v>Preeti Shah</v>
      </c>
      <c r="S1866">
        <f t="shared" si="29"/>
        <v>0.42761394101876676</v>
      </c>
    </row>
    <row r="1867" spans="1:19" x14ac:dyDescent="0.3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  <c r="L1867" t="str">
        <f>VLOOKUP(D1867,Products!$A:$F,3,FALSE)</f>
        <v>Grocery</v>
      </c>
      <c r="M1867" t="b">
        <f>VLOOKUP(D1867,Products!$A:$F,6,FALSE)</f>
        <v>1</v>
      </c>
      <c r="N1867">
        <f>VLOOKUP(D1867,Products!$A:$F,4,FALSE)</f>
        <v>2911</v>
      </c>
      <c r="O1867" t="str">
        <f>VLOOKUP(C1867,Customers!$A:$F,5,FALSE)</f>
        <v>Retail</v>
      </c>
      <c r="P1867">
        <f>VLOOKUP(C1867,Customers!$A:$F,3,FALSE)</f>
        <v>38</v>
      </c>
      <c r="Q1867" t="str">
        <f>VLOOKUP(E1867,Sales_Reps!$A:$E,3,FALSE)</f>
        <v>North</v>
      </c>
      <c r="R1867" t="str">
        <f>VLOOKUP(E1867,Sales_Reps!$A:$E,2,FALSE)</f>
        <v>Sunita Malhotra</v>
      </c>
      <c r="S1867">
        <f t="shared" si="29"/>
        <v>0.28300492610837441</v>
      </c>
    </row>
    <row r="1868" spans="1:19" x14ac:dyDescent="0.3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  <c r="L1868" t="str">
        <f>VLOOKUP(D1868,Products!$A:$F,3,FALSE)</f>
        <v>Beauty</v>
      </c>
      <c r="M1868" t="b">
        <f>VLOOKUP(D1868,Products!$A:$F,6,FALSE)</f>
        <v>1</v>
      </c>
      <c r="N1868">
        <f>VLOOKUP(D1868,Products!$A:$F,4,FALSE)</f>
        <v>1219</v>
      </c>
      <c r="O1868" t="str">
        <f>VLOOKUP(C1868,Customers!$A:$F,5,FALSE)</f>
        <v>Retail</v>
      </c>
      <c r="P1868">
        <f>VLOOKUP(C1868,Customers!$A:$F,3,FALSE)</f>
        <v>28</v>
      </c>
      <c r="Q1868" t="str">
        <f>VLOOKUP(E1868,Sales_Reps!$A:$E,3,FALSE)</f>
        <v>East</v>
      </c>
      <c r="R1868" t="str">
        <f>VLOOKUP(E1868,Sales_Reps!$A:$E,2,FALSE)</f>
        <v>Shalini Patel</v>
      </c>
      <c r="S1868">
        <f t="shared" si="29"/>
        <v>0.46768558951965067</v>
      </c>
    </row>
    <row r="1869" spans="1:19" x14ac:dyDescent="0.3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  <c r="L1869" t="str">
        <f>VLOOKUP(D1869,Products!$A:$F,3,FALSE)</f>
        <v>Sports</v>
      </c>
      <c r="M1869" t="b">
        <f>VLOOKUP(D1869,Products!$A:$F,6,FALSE)</f>
        <v>1</v>
      </c>
      <c r="N1869">
        <f>VLOOKUP(D1869,Products!$A:$F,4,FALSE)</f>
        <v>2827</v>
      </c>
      <c r="O1869" t="str">
        <f>VLOOKUP(C1869,Customers!$A:$F,5,FALSE)</f>
        <v>Retail</v>
      </c>
      <c r="P1869">
        <f>VLOOKUP(C1869,Customers!$A:$F,3,FALSE)</f>
        <v>60</v>
      </c>
      <c r="Q1869" t="str">
        <f>VLOOKUP(E1869,Sales_Reps!$A:$E,3,FALSE)</f>
        <v>South</v>
      </c>
      <c r="R1869" t="str">
        <f>VLOOKUP(E1869,Sales_Reps!$A:$E,2,FALSE)</f>
        <v>Sanjay Kapoor</v>
      </c>
      <c r="S1869">
        <f t="shared" si="29"/>
        <v>0.5926512968299712</v>
      </c>
    </row>
    <row r="1870" spans="1:19" x14ac:dyDescent="0.3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  <c r="L1870" t="str">
        <f>VLOOKUP(D1870,Products!$A:$F,3,FALSE)</f>
        <v>Home</v>
      </c>
      <c r="M1870" t="b">
        <f>VLOOKUP(D1870,Products!$A:$F,6,FALSE)</f>
        <v>1</v>
      </c>
      <c r="N1870">
        <f>VLOOKUP(D1870,Products!$A:$F,4,FALSE)</f>
        <v>2135</v>
      </c>
      <c r="O1870" t="str">
        <f>VLOOKUP(C1870,Customers!$A:$F,5,FALSE)</f>
        <v>Retail</v>
      </c>
      <c r="P1870">
        <f>VLOOKUP(C1870,Customers!$A:$F,3,FALSE)</f>
        <v>61</v>
      </c>
      <c r="Q1870" t="str">
        <f>VLOOKUP(E1870,Sales_Reps!$A:$E,3,FALSE)</f>
        <v>South</v>
      </c>
      <c r="R1870" t="str">
        <f>VLOOKUP(E1870,Sales_Reps!$A:$E,2,FALSE)</f>
        <v>Manoj Patel</v>
      </c>
      <c r="S1870">
        <f t="shared" si="29"/>
        <v>0.42761394101876676</v>
      </c>
    </row>
    <row r="1871" spans="1:19" x14ac:dyDescent="0.3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  <c r="L1871" t="str">
        <f>VLOOKUP(D1871,Products!$A:$F,3,FALSE)</f>
        <v>Home</v>
      </c>
      <c r="M1871" t="b">
        <f>VLOOKUP(D1871,Products!$A:$F,6,FALSE)</f>
        <v>1</v>
      </c>
      <c r="N1871">
        <f>VLOOKUP(D1871,Products!$A:$F,4,FALSE)</f>
        <v>2135</v>
      </c>
      <c r="O1871" t="str">
        <f>VLOOKUP(C1871,Customers!$A:$F,5,FALSE)</f>
        <v>Retail</v>
      </c>
      <c r="P1871">
        <f>VLOOKUP(C1871,Customers!$A:$F,3,FALSE)</f>
        <v>26</v>
      </c>
      <c r="Q1871" t="str">
        <f>VLOOKUP(E1871,Sales_Reps!$A:$E,3,FALSE)</f>
        <v>North</v>
      </c>
      <c r="R1871" t="str">
        <f>VLOOKUP(E1871,Sales_Reps!$A:$E,2,FALSE)</f>
        <v>Sunita Malhotra</v>
      </c>
      <c r="S1871">
        <f t="shared" si="29"/>
        <v>0.42761394101876676</v>
      </c>
    </row>
    <row r="1872" spans="1:19" x14ac:dyDescent="0.3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  <c r="L1872" t="str">
        <f>VLOOKUP(D1872,Products!$A:$F,3,FALSE)</f>
        <v>Grocery</v>
      </c>
      <c r="M1872" t="b">
        <f>VLOOKUP(D1872,Products!$A:$F,6,FALSE)</f>
        <v>1</v>
      </c>
      <c r="N1872">
        <f>VLOOKUP(D1872,Products!$A:$F,4,FALSE)</f>
        <v>1182</v>
      </c>
      <c r="O1872" t="str">
        <f>VLOOKUP(C1872,Customers!$A:$F,5,FALSE)</f>
        <v>Retail</v>
      </c>
      <c r="P1872">
        <f>VLOOKUP(C1872,Customers!$A:$F,3,FALSE)</f>
        <v>62</v>
      </c>
      <c r="Q1872" t="str">
        <f>VLOOKUP(E1872,Sales_Reps!$A:$E,3,FALSE)</f>
        <v>South</v>
      </c>
      <c r="R1872" t="str">
        <f>VLOOKUP(E1872,Sales_Reps!$A:$E,2,FALSE)</f>
        <v>Deepak Shah</v>
      </c>
      <c r="S1872">
        <f t="shared" si="29"/>
        <v>0.50336134453781511</v>
      </c>
    </row>
    <row r="1873" spans="1:19" x14ac:dyDescent="0.3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  <c r="L1873" t="str">
        <f>VLOOKUP(D1873,Products!$A:$F,3,FALSE)</f>
        <v>Home</v>
      </c>
      <c r="M1873" t="b">
        <f>VLOOKUP(D1873,Products!$A:$F,6,FALSE)</f>
        <v>1</v>
      </c>
      <c r="N1873">
        <f>VLOOKUP(D1873,Products!$A:$F,4,FALSE)</f>
        <v>519</v>
      </c>
      <c r="O1873" t="str">
        <f>VLOOKUP(C1873,Customers!$A:$F,5,FALSE)</f>
        <v>Retail</v>
      </c>
      <c r="P1873">
        <f>VLOOKUP(C1873,Customers!$A:$F,3,FALSE)</f>
        <v>44</v>
      </c>
      <c r="Q1873" t="str">
        <f>VLOOKUP(E1873,Sales_Reps!$A:$E,3,FALSE)</f>
        <v>North</v>
      </c>
      <c r="R1873" t="str">
        <f>VLOOKUP(E1873,Sales_Reps!$A:$E,2,FALSE)</f>
        <v>Sunita Malhotra</v>
      </c>
      <c r="S1873">
        <f t="shared" si="29"/>
        <v>0.51944444444444449</v>
      </c>
    </row>
    <row r="1874" spans="1:19" x14ac:dyDescent="0.3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  <c r="L1874" t="str">
        <f>VLOOKUP(D1874,Products!$A:$F,3,FALSE)</f>
        <v>Sports</v>
      </c>
      <c r="M1874" t="b">
        <f>VLOOKUP(D1874,Products!$A:$F,6,FALSE)</f>
        <v>0</v>
      </c>
      <c r="N1874">
        <f>VLOOKUP(D1874,Products!$A:$F,4,FALSE)</f>
        <v>302</v>
      </c>
      <c r="O1874" t="str">
        <f>VLOOKUP(C1874,Customers!$A:$F,5,FALSE)</f>
        <v>Retail</v>
      </c>
      <c r="P1874">
        <f>VLOOKUP(C1874,Customers!$A:$F,3,FALSE)</f>
        <v>22</v>
      </c>
      <c r="Q1874" t="str">
        <f>VLOOKUP(E1874,Sales_Reps!$A:$E,3,FALSE)</f>
        <v>South</v>
      </c>
      <c r="R1874" t="str">
        <f>VLOOKUP(E1874,Sales_Reps!$A:$E,2,FALSE)</f>
        <v>Sanjay Kapoor</v>
      </c>
      <c r="S1874">
        <f t="shared" si="29"/>
        <v>0.35744680851063831</v>
      </c>
    </row>
    <row r="1875" spans="1:19" x14ac:dyDescent="0.3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  <c r="L1875" t="str">
        <f>VLOOKUP(D1875,Products!$A:$F,3,FALSE)</f>
        <v>Home</v>
      </c>
      <c r="M1875" t="b">
        <f>VLOOKUP(D1875,Products!$A:$F,6,FALSE)</f>
        <v>1</v>
      </c>
      <c r="N1875">
        <f>VLOOKUP(D1875,Products!$A:$F,4,FALSE)</f>
        <v>288</v>
      </c>
      <c r="O1875" t="str">
        <f>VLOOKUP(C1875,Customers!$A:$F,5,FALSE)</f>
        <v>Retail</v>
      </c>
      <c r="P1875">
        <f>VLOOKUP(C1875,Customers!$A:$F,3,FALSE)</f>
        <v>54</v>
      </c>
      <c r="Q1875" t="str">
        <f>VLOOKUP(E1875,Sales_Reps!$A:$E,3,FALSE)</f>
        <v>West</v>
      </c>
      <c r="R1875" t="str">
        <f>VLOOKUP(E1875,Sales_Reps!$A:$E,2,FALSE)</f>
        <v>Sonia Malhotra</v>
      </c>
      <c r="S1875">
        <f t="shared" si="29"/>
        <v>0.22162162162162163</v>
      </c>
    </row>
    <row r="1876" spans="1:19" x14ac:dyDescent="0.3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  <c r="L1876" t="str">
        <f>VLOOKUP(D1876,Products!$A:$F,3,FALSE)</f>
        <v>Apparel</v>
      </c>
      <c r="M1876" t="b">
        <f>VLOOKUP(D1876,Products!$A:$F,6,FALSE)</f>
        <v>1</v>
      </c>
      <c r="N1876">
        <f>VLOOKUP(D1876,Products!$A:$F,4,FALSE)</f>
        <v>1886</v>
      </c>
      <c r="O1876" t="str">
        <f>VLOOKUP(C1876,Customers!$A:$F,5,FALSE)</f>
        <v>SMB</v>
      </c>
      <c r="P1876">
        <f>VLOOKUP(C1876,Customers!$A:$F,3,FALSE)</f>
        <v>65</v>
      </c>
      <c r="Q1876" t="str">
        <f>VLOOKUP(E1876,Sales_Reps!$A:$E,3,FALSE)</f>
        <v>North</v>
      </c>
      <c r="R1876" t="str">
        <f>VLOOKUP(E1876,Sales_Reps!$A:$E,2,FALSE)</f>
        <v>Suresh Menon</v>
      </c>
      <c r="S1876">
        <f t="shared" si="29"/>
        <v>0.4031645569620253</v>
      </c>
    </row>
    <row r="1877" spans="1:19" x14ac:dyDescent="0.3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  <c r="L1877" t="str">
        <f>VLOOKUP(D1877,Products!$A:$F,3,FALSE)</f>
        <v>Apparel</v>
      </c>
      <c r="M1877" t="b">
        <f>VLOOKUP(D1877,Products!$A:$F,6,FALSE)</f>
        <v>1</v>
      </c>
      <c r="N1877">
        <f>VLOOKUP(D1877,Products!$A:$F,4,FALSE)</f>
        <v>2629</v>
      </c>
      <c r="O1877" t="str">
        <f>VLOOKUP(C1877,Customers!$A:$F,5,FALSE)</f>
        <v>Retail</v>
      </c>
      <c r="P1877">
        <f>VLOOKUP(C1877,Customers!$A:$F,3,FALSE)</f>
        <v>59</v>
      </c>
      <c r="Q1877" t="str">
        <f>VLOOKUP(E1877,Sales_Reps!$A:$E,3,FALSE)</f>
        <v>West</v>
      </c>
      <c r="R1877" t="str">
        <f>VLOOKUP(E1877,Sales_Reps!$A:$E,2,FALSE)</f>
        <v>Rekha Chopra</v>
      </c>
      <c r="S1877">
        <f t="shared" si="29"/>
        <v>0.26151685393258428</v>
      </c>
    </row>
    <row r="1878" spans="1:19" x14ac:dyDescent="0.3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  <c r="L1878" t="str">
        <f>VLOOKUP(D1878,Products!$A:$F,3,FALSE)</f>
        <v>Home</v>
      </c>
      <c r="M1878" t="b">
        <f>VLOOKUP(D1878,Products!$A:$F,6,FALSE)</f>
        <v>1</v>
      </c>
      <c r="N1878">
        <f>VLOOKUP(D1878,Products!$A:$F,4,FALSE)</f>
        <v>1143</v>
      </c>
      <c r="O1878" t="str">
        <f>VLOOKUP(C1878,Customers!$A:$F,5,FALSE)</f>
        <v>SMB</v>
      </c>
      <c r="P1878">
        <f>VLOOKUP(C1878,Customers!$A:$F,3,FALSE)</f>
        <v>64</v>
      </c>
      <c r="Q1878" t="str">
        <f>VLOOKUP(E1878,Sales_Reps!$A:$E,3,FALSE)</f>
        <v>East</v>
      </c>
      <c r="R1878" t="str">
        <f>VLOOKUP(E1878,Sales_Reps!$A:$E,2,FALSE)</f>
        <v>Gaurav Desai</v>
      </c>
      <c r="S1878">
        <f t="shared" si="29"/>
        <v>0.43694581280788175</v>
      </c>
    </row>
    <row r="1879" spans="1:19" x14ac:dyDescent="0.3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  <c r="L1879" t="str">
        <f>VLOOKUP(D1879,Products!$A:$F,3,FALSE)</f>
        <v>Electronics</v>
      </c>
      <c r="M1879" t="b">
        <f>VLOOKUP(D1879,Products!$A:$F,6,FALSE)</f>
        <v>1</v>
      </c>
      <c r="N1879">
        <f>VLOOKUP(D1879,Products!$A:$F,4,FALSE)</f>
        <v>1149</v>
      </c>
      <c r="O1879" t="str">
        <f>VLOOKUP(C1879,Customers!$A:$F,5,FALSE)</f>
        <v>Corporate</v>
      </c>
      <c r="P1879">
        <f>VLOOKUP(C1879,Customers!$A:$F,3,FALSE)</f>
        <v>35</v>
      </c>
      <c r="Q1879" t="str">
        <f>VLOOKUP(E1879,Sales_Reps!$A:$E,3,FALSE)</f>
        <v>East</v>
      </c>
      <c r="R1879" t="str">
        <f>VLOOKUP(E1879,Sales_Reps!$A:$E,2,FALSE)</f>
        <v>Shalini Patel</v>
      </c>
      <c r="S1879">
        <f t="shared" si="29"/>
        <v>0.56477272727272732</v>
      </c>
    </row>
    <row r="1880" spans="1:19" x14ac:dyDescent="0.3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  <c r="L1880" t="str">
        <f>VLOOKUP(D1880,Products!$A:$F,3,FALSE)</f>
        <v>Grocery</v>
      </c>
      <c r="M1880" t="b">
        <f>VLOOKUP(D1880,Products!$A:$F,6,FALSE)</f>
        <v>1</v>
      </c>
      <c r="N1880">
        <f>VLOOKUP(D1880,Products!$A:$F,4,FALSE)</f>
        <v>1412</v>
      </c>
      <c r="O1880" t="str">
        <f>VLOOKUP(C1880,Customers!$A:$F,5,FALSE)</f>
        <v>Retail</v>
      </c>
      <c r="P1880">
        <f>VLOOKUP(C1880,Customers!$A:$F,3,FALSE)</f>
        <v>37</v>
      </c>
      <c r="Q1880" t="str">
        <f>VLOOKUP(E1880,Sales_Reps!$A:$E,3,FALSE)</f>
        <v>North</v>
      </c>
      <c r="R1880" t="str">
        <f>VLOOKUP(E1880,Sales_Reps!$A:$E,2,FALSE)</f>
        <v>Sunita Malhotra</v>
      </c>
      <c r="S1880">
        <f t="shared" si="29"/>
        <v>0.37797356828193834</v>
      </c>
    </row>
    <row r="1881" spans="1:19" x14ac:dyDescent="0.3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  <c r="L1881" t="str">
        <f>VLOOKUP(D1881,Products!$A:$F,3,FALSE)</f>
        <v>Home</v>
      </c>
      <c r="M1881" t="b">
        <f>VLOOKUP(D1881,Products!$A:$F,6,FALSE)</f>
        <v>1</v>
      </c>
      <c r="N1881">
        <f>VLOOKUP(D1881,Products!$A:$F,4,FALSE)</f>
        <v>288</v>
      </c>
      <c r="O1881" t="str">
        <f>VLOOKUP(C1881,Customers!$A:$F,5,FALSE)</f>
        <v>Retail</v>
      </c>
      <c r="P1881">
        <f>VLOOKUP(C1881,Customers!$A:$F,3,FALSE)</f>
        <v>44</v>
      </c>
      <c r="Q1881" t="str">
        <f>VLOOKUP(E1881,Sales_Reps!$A:$E,3,FALSE)</f>
        <v>North</v>
      </c>
      <c r="R1881" t="str">
        <f>VLOOKUP(E1881,Sales_Reps!$A:$E,2,FALSE)</f>
        <v>Sunita Malhotra</v>
      </c>
      <c r="S1881">
        <f t="shared" si="29"/>
        <v>0.22162162162162163</v>
      </c>
    </row>
    <row r="1882" spans="1:19" x14ac:dyDescent="0.3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  <c r="L1882" t="str">
        <f>VLOOKUP(D1882,Products!$A:$F,3,FALSE)</f>
        <v>Beauty</v>
      </c>
      <c r="M1882" t="b">
        <f>VLOOKUP(D1882,Products!$A:$F,6,FALSE)</f>
        <v>1</v>
      </c>
      <c r="N1882">
        <f>VLOOKUP(D1882,Products!$A:$F,4,FALSE)</f>
        <v>2237</v>
      </c>
      <c r="O1882" t="str">
        <f>VLOOKUP(C1882,Customers!$A:$F,5,FALSE)</f>
        <v>SMB</v>
      </c>
      <c r="P1882">
        <f>VLOOKUP(C1882,Customers!$A:$F,3,FALSE)</f>
        <v>55</v>
      </c>
      <c r="Q1882" t="str">
        <f>VLOOKUP(E1882,Sales_Reps!$A:$E,3,FALSE)</f>
        <v>East</v>
      </c>
      <c r="R1882" t="str">
        <f>VLOOKUP(E1882,Sales_Reps!$A:$E,2,FALSE)</f>
        <v>Naveen Singh</v>
      </c>
      <c r="S1882">
        <f t="shared" si="29"/>
        <v>0.56137254901960787</v>
      </c>
    </row>
    <row r="1883" spans="1:19" x14ac:dyDescent="0.3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  <c r="L1883" t="str">
        <f>VLOOKUP(D1883,Products!$A:$F,3,FALSE)</f>
        <v>Home</v>
      </c>
      <c r="M1883" t="b">
        <f>VLOOKUP(D1883,Products!$A:$F,6,FALSE)</f>
        <v>1</v>
      </c>
      <c r="N1883">
        <f>VLOOKUP(D1883,Products!$A:$F,4,FALSE)</f>
        <v>288</v>
      </c>
      <c r="O1883" t="str">
        <f>VLOOKUP(C1883,Customers!$A:$F,5,FALSE)</f>
        <v>Retail</v>
      </c>
      <c r="P1883">
        <f>VLOOKUP(C1883,Customers!$A:$F,3,FALSE)</f>
        <v>22</v>
      </c>
      <c r="Q1883" t="str">
        <f>VLOOKUP(E1883,Sales_Reps!$A:$E,3,FALSE)</f>
        <v>East</v>
      </c>
      <c r="R1883" t="str">
        <f>VLOOKUP(E1883,Sales_Reps!$A:$E,2,FALSE)</f>
        <v>Vinod Kumar</v>
      </c>
      <c r="S1883">
        <f t="shared" si="29"/>
        <v>0.22162162162162163</v>
      </c>
    </row>
    <row r="1884" spans="1:19" x14ac:dyDescent="0.3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  <c r="L1884" t="str">
        <f>VLOOKUP(D1884,Products!$A:$F,3,FALSE)</f>
        <v>Grocery</v>
      </c>
      <c r="M1884" t="b">
        <f>VLOOKUP(D1884,Products!$A:$F,6,FALSE)</f>
        <v>1</v>
      </c>
      <c r="N1884">
        <f>VLOOKUP(D1884,Products!$A:$F,4,FALSE)</f>
        <v>434</v>
      </c>
      <c r="O1884" t="str">
        <f>VLOOKUP(C1884,Customers!$A:$F,5,FALSE)</f>
        <v>SMB</v>
      </c>
      <c r="P1884">
        <f>VLOOKUP(C1884,Customers!$A:$F,3,FALSE)</f>
        <v>24</v>
      </c>
      <c r="Q1884" t="str">
        <f>VLOOKUP(E1884,Sales_Reps!$A:$E,3,FALSE)</f>
        <v>North</v>
      </c>
      <c r="R1884" t="str">
        <f>VLOOKUP(E1884,Sales_Reps!$A:$E,2,FALSE)</f>
        <v>Priya Singh</v>
      </c>
      <c r="S1884">
        <f t="shared" si="29"/>
        <v>0.5525773195876289</v>
      </c>
    </row>
    <row r="1885" spans="1:19" x14ac:dyDescent="0.3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  <c r="L1885" t="str">
        <f>VLOOKUP(D1885,Products!$A:$F,3,FALSE)</f>
        <v>Grocery</v>
      </c>
      <c r="M1885" t="b">
        <f>VLOOKUP(D1885,Products!$A:$F,6,FALSE)</f>
        <v>1</v>
      </c>
      <c r="N1885">
        <f>VLOOKUP(D1885,Products!$A:$F,4,FALSE)</f>
        <v>1010</v>
      </c>
      <c r="O1885" t="e">
        <f>VLOOKUP(C1885,Customers!$A:$F,5,FALSE)</f>
        <v>#N/A</v>
      </c>
      <c r="P1885" t="e">
        <f>VLOOKUP(C1885,Customers!$A:$F,3,FALSE)</f>
        <v>#N/A</v>
      </c>
      <c r="Q1885" t="str">
        <f>VLOOKUP(E1885,Sales_Reps!$A:$E,3,FALSE)</f>
        <v>West</v>
      </c>
      <c r="R1885" t="str">
        <f>VLOOKUP(E1885,Sales_Reps!$A:$E,2,FALSE)</f>
        <v>Arun Iyer</v>
      </c>
      <c r="S1885">
        <f t="shared" si="29"/>
        <v>0.54298642533936647</v>
      </c>
    </row>
    <row r="1886" spans="1:19" x14ac:dyDescent="0.3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  <c r="L1886" t="str">
        <f>VLOOKUP(D1886,Products!$A:$F,3,FALSE)</f>
        <v>Beauty</v>
      </c>
      <c r="M1886" t="b">
        <f>VLOOKUP(D1886,Products!$A:$F,6,FALSE)</f>
        <v>1</v>
      </c>
      <c r="N1886">
        <f>VLOOKUP(D1886,Products!$A:$F,4,FALSE)</f>
        <v>1222</v>
      </c>
      <c r="O1886" t="str">
        <f>VLOOKUP(C1886,Customers!$A:$F,5,FALSE)</f>
        <v>Corporate</v>
      </c>
      <c r="P1886">
        <f>VLOOKUP(C1886,Customers!$A:$F,3,FALSE)</f>
        <v>27</v>
      </c>
      <c r="Q1886" t="str">
        <f>VLOOKUP(E1886,Sales_Reps!$A:$E,3,FALSE)</f>
        <v>North</v>
      </c>
      <c r="R1886" t="str">
        <f>VLOOKUP(E1886,Sales_Reps!$A:$E,2,FALSE)</f>
        <v>Sunita Malhotra</v>
      </c>
      <c r="S1886">
        <f t="shared" si="29"/>
        <v>0.2593939393939394</v>
      </c>
    </row>
    <row r="1887" spans="1:19" x14ac:dyDescent="0.3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  <c r="L1887" t="str">
        <f>VLOOKUP(D1887,Products!$A:$F,3,FALSE)</f>
        <v>Sports</v>
      </c>
      <c r="M1887" t="b">
        <f>VLOOKUP(D1887,Products!$A:$F,6,FALSE)</f>
        <v>1</v>
      </c>
      <c r="N1887">
        <f>VLOOKUP(D1887,Products!$A:$F,4,FALSE)</f>
        <v>2827</v>
      </c>
      <c r="O1887" t="str">
        <f>VLOOKUP(C1887,Customers!$A:$F,5,FALSE)</f>
        <v>Retail</v>
      </c>
      <c r="P1887">
        <f>VLOOKUP(C1887,Customers!$A:$F,3,FALSE)</f>
        <v>65</v>
      </c>
      <c r="Q1887" t="str">
        <f>VLOOKUP(E1887,Sales_Reps!$A:$E,3,FALSE)</f>
        <v>North</v>
      </c>
      <c r="R1887" t="str">
        <f>VLOOKUP(E1887,Sales_Reps!$A:$E,2,FALSE)</f>
        <v>Amit Singh</v>
      </c>
      <c r="S1887">
        <f t="shared" si="29"/>
        <v>0.5926512968299712</v>
      </c>
    </row>
    <row r="1888" spans="1:19" x14ac:dyDescent="0.3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  <c r="L1888" t="str">
        <f>VLOOKUP(D1888,Products!$A:$F,3,FALSE)</f>
        <v>Grocery</v>
      </c>
      <c r="M1888" t="b">
        <f>VLOOKUP(D1888,Products!$A:$F,6,FALSE)</f>
        <v>1</v>
      </c>
      <c r="N1888">
        <f>VLOOKUP(D1888,Products!$A:$F,4,FALSE)</f>
        <v>1010</v>
      </c>
      <c r="O1888" t="str">
        <f>VLOOKUP(C1888,Customers!$A:$F,5,FALSE)</f>
        <v>Corporate</v>
      </c>
      <c r="P1888">
        <f>VLOOKUP(C1888,Customers!$A:$F,3,FALSE)</f>
        <v>29</v>
      </c>
      <c r="Q1888" t="str">
        <f>VLOOKUP(E1888,Sales_Reps!$A:$E,3,FALSE)</f>
        <v>East</v>
      </c>
      <c r="R1888" t="str">
        <f>VLOOKUP(E1888,Sales_Reps!$A:$E,2,FALSE)</f>
        <v>Nisha Menon</v>
      </c>
      <c r="S1888">
        <f t="shared" si="29"/>
        <v>0.54298642533936647</v>
      </c>
    </row>
    <row r="1889" spans="1:19" x14ac:dyDescent="0.3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  <c r="L1889" t="str">
        <f>VLOOKUP(D1889,Products!$A:$F,3,FALSE)</f>
        <v>Electronics</v>
      </c>
      <c r="M1889" t="b">
        <f>VLOOKUP(D1889,Products!$A:$F,6,FALSE)</f>
        <v>1</v>
      </c>
      <c r="N1889">
        <f>VLOOKUP(D1889,Products!$A:$F,4,FALSE)</f>
        <v>1052</v>
      </c>
      <c r="O1889" t="str">
        <f>VLOOKUP(C1889,Customers!$A:$F,5,FALSE)</f>
        <v>SMB</v>
      </c>
      <c r="P1889">
        <f>VLOOKUP(C1889,Customers!$A:$F,3,FALSE)</f>
        <v>60</v>
      </c>
      <c r="Q1889" t="str">
        <f>VLOOKUP(E1889,Sales_Reps!$A:$E,3,FALSE)</f>
        <v>South</v>
      </c>
      <c r="R1889" t="str">
        <f>VLOOKUP(E1889,Sales_Reps!$A:$E,2,FALSE)</f>
        <v>Ritu Menon</v>
      </c>
      <c r="S1889">
        <f t="shared" si="29"/>
        <v>0.5953846153846154</v>
      </c>
    </row>
    <row r="1890" spans="1:19" x14ac:dyDescent="0.3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  <c r="L1890" t="str">
        <f>VLOOKUP(D1890,Products!$A:$F,3,FALSE)</f>
        <v>Sports</v>
      </c>
      <c r="M1890" t="b">
        <f>VLOOKUP(D1890,Products!$A:$F,6,FALSE)</f>
        <v>1</v>
      </c>
      <c r="N1890">
        <f>VLOOKUP(D1890,Products!$A:$F,4,FALSE)</f>
        <v>1860</v>
      </c>
      <c r="O1890" t="str">
        <f>VLOOKUP(C1890,Customers!$A:$F,5,FALSE)</f>
        <v>Retail</v>
      </c>
      <c r="P1890">
        <f>VLOOKUP(C1890,Customers!$A:$F,3,FALSE)</f>
        <v>35</v>
      </c>
      <c r="Q1890" t="str">
        <f>VLOOKUP(E1890,Sales_Reps!$A:$E,3,FALSE)</f>
        <v>North</v>
      </c>
      <c r="R1890" t="str">
        <f>VLOOKUP(E1890,Sales_Reps!$A:$E,2,FALSE)</f>
        <v>Amit Singh</v>
      </c>
      <c r="S1890">
        <f t="shared" si="29"/>
        <v>0.50793650793650791</v>
      </c>
    </row>
    <row r="1891" spans="1:19" x14ac:dyDescent="0.3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  <c r="L1891" t="str">
        <f>VLOOKUP(D1891,Products!$A:$F,3,FALSE)</f>
        <v>Sports</v>
      </c>
      <c r="M1891" t="b">
        <f>VLOOKUP(D1891,Products!$A:$F,6,FALSE)</f>
        <v>1</v>
      </c>
      <c r="N1891">
        <f>VLOOKUP(D1891,Products!$A:$F,4,FALSE)</f>
        <v>974</v>
      </c>
      <c r="O1891" t="str">
        <f>VLOOKUP(C1891,Customers!$A:$F,5,FALSE)</f>
        <v>Corporate</v>
      </c>
      <c r="P1891">
        <f>VLOOKUP(C1891,Customers!$A:$F,3,FALSE)</f>
        <v>55</v>
      </c>
      <c r="Q1891" t="str">
        <f>VLOOKUP(E1891,Sales_Reps!$A:$E,3,FALSE)</f>
        <v>South</v>
      </c>
      <c r="R1891" t="str">
        <f>VLOOKUP(E1891,Sales_Reps!$A:$E,2,FALSE)</f>
        <v>Sanjay Kapoor</v>
      </c>
      <c r="S1891">
        <f t="shared" si="29"/>
        <v>0.59416666666666662</v>
      </c>
    </row>
    <row r="1892" spans="1:19" x14ac:dyDescent="0.3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  <c r="L1892" t="str">
        <f>VLOOKUP(D1892,Products!$A:$F,3,FALSE)</f>
        <v>Electronics</v>
      </c>
      <c r="M1892" t="b">
        <f>VLOOKUP(D1892,Products!$A:$F,6,FALSE)</f>
        <v>1</v>
      </c>
      <c r="N1892">
        <f>VLOOKUP(D1892,Products!$A:$F,4,FALSE)</f>
        <v>128</v>
      </c>
      <c r="O1892" t="str">
        <f>VLOOKUP(C1892,Customers!$A:$F,5,FALSE)</f>
        <v>Retail</v>
      </c>
      <c r="P1892">
        <f>VLOOKUP(C1892,Customers!$A:$F,3,FALSE)</f>
        <v>25</v>
      </c>
      <c r="Q1892" t="str">
        <f>VLOOKUP(E1892,Sales_Reps!$A:$E,3,FALSE)</f>
        <v>North</v>
      </c>
      <c r="R1892" t="str">
        <f>VLOOKUP(E1892,Sales_Reps!$A:$E,2,FALSE)</f>
        <v>Vikram Patel</v>
      </c>
      <c r="S1892">
        <f t="shared" si="29"/>
        <v>0.57333333333333336</v>
      </c>
    </row>
    <row r="1893" spans="1:19" x14ac:dyDescent="0.3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  <c r="L1893" t="str">
        <f>VLOOKUP(D1893,Products!$A:$F,3,FALSE)</f>
        <v>Grocery</v>
      </c>
      <c r="M1893" t="b">
        <f>VLOOKUP(D1893,Products!$A:$F,6,FALSE)</f>
        <v>0</v>
      </c>
      <c r="N1893">
        <f>VLOOKUP(D1893,Products!$A:$F,4,FALSE)</f>
        <v>2214</v>
      </c>
      <c r="O1893" t="str">
        <f>VLOOKUP(C1893,Customers!$A:$F,5,FALSE)</f>
        <v>Corporate</v>
      </c>
      <c r="P1893">
        <f>VLOOKUP(C1893,Customers!$A:$F,3,FALSE)</f>
        <v>55</v>
      </c>
      <c r="Q1893" t="str">
        <f>VLOOKUP(E1893,Sales_Reps!$A:$E,3,FALSE)</f>
        <v>South</v>
      </c>
      <c r="R1893" t="str">
        <f>VLOOKUP(E1893,Sales_Reps!$A:$E,2,FALSE)</f>
        <v>Divya Rao</v>
      </c>
      <c r="S1893">
        <f t="shared" si="29"/>
        <v>0.39508196721311473</v>
      </c>
    </row>
    <row r="1894" spans="1:19" x14ac:dyDescent="0.3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  <c r="L1894" t="str">
        <f>VLOOKUP(D1894,Products!$A:$F,3,FALSE)</f>
        <v>Sports</v>
      </c>
      <c r="M1894" t="b">
        <f>VLOOKUP(D1894,Products!$A:$F,6,FALSE)</f>
        <v>1</v>
      </c>
      <c r="N1894">
        <f>VLOOKUP(D1894,Products!$A:$F,4,FALSE)</f>
        <v>2467</v>
      </c>
      <c r="O1894" t="str">
        <f>VLOOKUP(C1894,Customers!$A:$F,5,FALSE)</f>
        <v>Retail</v>
      </c>
      <c r="P1894">
        <f>VLOOKUP(C1894,Customers!$A:$F,3,FALSE)</f>
        <v>42</v>
      </c>
      <c r="Q1894" t="str">
        <f>VLOOKUP(E1894,Sales_Reps!$A:$E,3,FALSE)</f>
        <v>South</v>
      </c>
      <c r="R1894" t="str">
        <f>VLOOKUP(E1894,Sales_Reps!$A:$E,2,FALSE)</f>
        <v>Anil Verma</v>
      </c>
      <c r="S1894">
        <f t="shared" si="29"/>
        <v>0.28492753623188405</v>
      </c>
    </row>
    <row r="1895" spans="1:19" x14ac:dyDescent="0.3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  <c r="L1895" t="str">
        <f>VLOOKUP(D1895,Products!$A:$F,3,FALSE)</f>
        <v>Apparel</v>
      </c>
      <c r="M1895" t="b">
        <f>VLOOKUP(D1895,Products!$A:$F,6,FALSE)</f>
        <v>1</v>
      </c>
      <c r="N1895">
        <f>VLOOKUP(D1895,Products!$A:$F,4,FALSE)</f>
        <v>1748</v>
      </c>
      <c r="O1895" t="str">
        <f>VLOOKUP(C1895,Customers!$A:$F,5,FALSE)</f>
        <v>SMB</v>
      </c>
      <c r="P1895">
        <f>VLOOKUP(C1895,Customers!$A:$F,3,FALSE)</f>
        <v>65</v>
      </c>
      <c r="Q1895" t="str">
        <f>VLOOKUP(E1895,Sales_Reps!$A:$E,3,FALSE)</f>
        <v>North</v>
      </c>
      <c r="R1895" t="str">
        <f>VLOOKUP(E1895,Sales_Reps!$A:$E,2,FALSE)</f>
        <v>Suresh Menon</v>
      </c>
      <c r="S1895">
        <f t="shared" si="29"/>
        <v>0.49333333333333335</v>
      </c>
    </row>
    <row r="1896" spans="1:19" x14ac:dyDescent="0.3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  <c r="L1896" t="str">
        <f>VLOOKUP(D1896,Products!$A:$F,3,FALSE)</f>
        <v>Grocery</v>
      </c>
      <c r="M1896" t="b">
        <f>VLOOKUP(D1896,Products!$A:$F,6,FALSE)</f>
        <v>1</v>
      </c>
      <c r="N1896">
        <f>VLOOKUP(D1896,Products!$A:$F,4,FALSE)</f>
        <v>2027</v>
      </c>
      <c r="O1896" t="str">
        <f>VLOOKUP(C1896,Customers!$A:$F,5,FALSE)</f>
        <v>Corporate</v>
      </c>
      <c r="P1896">
        <f>VLOOKUP(C1896,Customers!$A:$F,3,FALSE)</f>
        <v>46</v>
      </c>
      <c r="Q1896" t="str">
        <f>VLOOKUP(E1896,Sales_Reps!$A:$E,3,FALSE)</f>
        <v>North</v>
      </c>
      <c r="R1896" t="str">
        <f>VLOOKUP(E1896,Sales_Reps!$A:$E,2,FALSE)</f>
        <v>Kavita Patel</v>
      </c>
      <c r="S1896">
        <f t="shared" si="29"/>
        <v>0.50196560196560192</v>
      </c>
    </row>
    <row r="1897" spans="1:19" x14ac:dyDescent="0.3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  <c r="L1897" t="str">
        <f>VLOOKUP(D1897,Products!$A:$F,3,FALSE)</f>
        <v>Sports</v>
      </c>
      <c r="M1897" t="b">
        <f>VLOOKUP(D1897,Products!$A:$F,6,FALSE)</f>
        <v>1</v>
      </c>
      <c r="N1897">
        <f>VLOOKUP(D1897,Products!$A:$F,4,FALSE)</f>
        <v>1860</v>
      </c>
      <c r="O1897" t="str">
        <f>VLOOKUP(C1897,Customers!$A:$F,5,FALSE)</f>
        <v>SMB</v>
      </c>
      <c r="P1897">
        <f>VLOOKUP(C1897,Customers!$A:$F,3,FALSE)</f>
        <v>62</v>
      </c>
      <c r="Q1897" t="str">
        <f>VLOOKUP(E1897,Sales_Reps!$A:$E,3,FALSE)</f>
        <v>East</v>
      </c>
      <c r="R1897" t="str">
        <f>VLOOKUP(E1897,Sales_Reps!$A:$E,2,FALSE)</f>
        <v>Vinod Kumar</v>
      </c>
      <c r="S1897">
        <f t="shared" si="29"/>
        <v>0.50793650793650791</v>
      </c>
    </row>
    <row r="1898" spans="1:19" x14ac:dyDescent="0.3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  <c r="L1898" t="str">
        <f>VLOOKUP(D1898,Products!$A:$F,3,FALSE)</f>
        <v>Grocery</v>
      </c>
      <c r="M1898" t="b">
        <f>VLOOKUP(D1898,Products!$A:$F,6,FALSE)</f>
        <v>1</v>
      </c>
      <c r="N1898">
        <f>VLOOKUP(D1898,Products!$A:$F,4,FALSE)</f>
        <v>1435</v>
      </c>
      <c r="O1898" t="str">
        <f>VLOOKUP(C1898,Customers!$A:$F,5,FALSE)</f>
        <v>Retail</v>
      </c>
      <c r="P1898">
        <f>VLOOKUP(C1898,Customers!$A:$F,3,FALSE)</f>
        <v>35</v>
      </c>
      <c r="Q1898" t="str">
        <f>VLOOKUP(E1898,Sales_Reps!$A:$E,3,FALSE)</f>
        <v>North</v>
      </c>
      <c r="R1898" t="str">
        <f>VLOOKUP(E1898,Sales_Reps!$A:$E,2,FALSE)</f>
        <v>Priya Singh</v>
      </c>
      <c r="S1898">
        <f t="shared" si="29"/>
        <v>0.48007246376811596</v>
      </c>
    </row>
    <row r="1899" spans="1:19" x14ac:dyDescent="0.3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  <c r="L1899" t="str">
        <f>VLOOKUP(D1899,Products!$A:$F,3,FALSE)</f>
        <v>Beauty</v>
      </c>
      <c r="M1899" t="b">
        <f>VLOOKUP(D1899,Products!$A:$F,6,FALSE)</f>
        <v>1</v>
      </c>
      <c r="N1899">
        <f>VLOOKUP(D1899,Products!$A:$F,4,FALSE)</f>
        <v>2768</v>
      </c>
      <c r="O1899" t="str">
        <f>VLOOKUP(C1899,Customers!$A:$F,5,FALSE)</f>
        <v>Corporate</v>
      </c>
      <c r="P1899">
        <f>VLOOKUP(C1899,Customers!$A:$F,3,FALSE)</f>
        <v>32</v>
      </c>
      <c r="Q1899" t="str">
        <f>VLOOKUP(E1899,Sales_Reps!$A:$E,3,FALSE)</f>
        <v>West</v>
      </c>
      <c r="R1899" t="str">
        <f>VLOOKUP(E1899,Sales_Reps!$A:$E,2,FALSE)</f>
        <v>Kiran Bhatt</v>
      </c>
      <c r="S1899">
        <f t="shared" si="29"/>
        <v>0.43278688524590164</v>
      </c>
    </row>
    <row r="1900" spans="1:19" x14ac:dyDescent="0.3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  <c r="L1900" t="str">
        <f>VLOOKUP(D1900,Products!$A:$F,3,FALSE)</f>
        <v>Grocery</v>
      </c>
      <c r="M1900" t="b">
        <f>VLOOKUP(D1900,Products!$A:$F,6,FALSE)</f>
        <v>1</v>
      </c>
      <c r="N1900">
        <f>VLOOKUP(D1900,Products!$A:$F,4,FALSE)</f>
        <v>1182</v>
      </c>
      <c r="O1900" t="str">
        <f>VLOOKUP(C1900,Customers!$A:$F,5,FALSE)</f>
        <v>Retail</v>
      </c>
      <c r="P1900">
        <f>VLOOKUP(C1900,Customers!$A:$F,3,FALSE)</f>
        <v>52</v>
      </c>
      <c r="Q1900" t="str">
        <f>VLOOKUP(E1900,Sales_Reps!$A:$E,3,FALSE)</f>
        <v>East</v>
      </c>
      <c r="R1900" t="str">
        <f>VLOOKUP(E1900,Sales_Reps!$A:$E,2,FALSE)</f>
        <v>Nisha Menon</v>
      </c>
      <c r="S1900">
        <f t="shared" si="29"/>
        <v>0.50336134453781511</v>
      </c>
    </row>
    <row r="1901" spans="1:19" x14ac:dyDescent="0.3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  <c r="L1901" t="str">
        <f>VLOOKUP(D1901,Products!$A:$F,3,FALSE)</f>
        <v>Beauty</v>
      </c>
      <c r="M1901" t="b">
        <f>VLOOKUP(D1901,Products!$A:$F,6,FALSE)</f>
        <v>1</v>
      </c>
      <c r="N1901">
        <f>VLOOKUP(D1901,Products!$A:$F,4,FALSE)</f>
        <v>1219</v>
      </c>
      <c r="O1901" t="str">
        <f>VLOOKUP(C1901,Customers!$A:$F,5,FALSE)</f>
        <v>Corporate</v>
      </c>
      <c r="P1901">
        <f>VLOOKUP(C1901,Customers!$A:$F,3,FALSE)</f>
        <v>31</v>
      </c>
      <c r="Q1901" t="str">
        <f>VLOOKUP(E1901,Sales_Reps!$A:$E,3,FALSE)</f>
        <v>North</v>
      </c>
      <c r="R1901" t="str">
        <f>VLOOKUP(E1901,Sales_Reps!$A:$E,2,FALSE)</f>
        <v>Amit Singh</v>
      </c>
      <c r="S1901">
        <f t="shared" si="29"/>
        <v>0.46768558951965067</v>
      </c>
    </row>
    <row r="1902" spans="1:19" x14ac:dyDescent="0.3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  <c r="L1902" t="str">
        <f>VLOOKUP(D1902,Products!$A:$F,3,FALSE)</f>
        <v>Grocery</v>
      </c>
      <c r="M1902" t="b">
        <f>VLOOKUP(D1902,Products!$A:$F,6,FALSE)</f>
        <v>1</v>
      </c>
      <c r="N1902">
        <f>VLOOKUP(D1902,Products!$A:$F,4,FALSE)</f>
        <v>1435</v>
      </c>
      <c r="O1902" t="str">
        <f>VLOOKUP(C1902,Customers!$A:$F,5,FALSE)</f>
        <v>Corporate</v>
      </c>
      <c r="P1902">
        <f>VLOOKUP(C1902,Customers!$A:$F,3,FALSE)</f>
        <v>32</v>
      </c>
      <c r="Q1902" t="str">
        <f>VLOOKUP(E1902,Sales_Reps!$A:$E,3,FALSE)</f>
        <v>North</v>
      </c>
      <c r="R1902" t="str">
        <f>VLOOKUP(E1902,Sales_Reps!$A:$E,2,FALSE)</f>
        <v>Priya Singh</v>
      </c>
      <c r="S1902">
        <f t="shared" si="29"/>
        <v>0.48007246376811596</v>
      </c>
    </row>
    <row r="1903" spans="1:19" x14ac:dyDescent="0.3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  <c r="L1903" t="str">
        <f>VLOOKUP(D1903,Products!$A:$F,3,FALSE)</f>
        <v>Grocery</v>
      </c>
      <c r="M1903" t="b">
        <f>VLOOKUP(D1903,Products!$A:$F,6,FALSE)</f>
        <v>1</v>
      </c>
      <c r="N1903">
        <f>VLOOKUP(D1903,Products!$A:$F,4,FALSE)</f>
        <v>2911</v>
      </c>
      <c r="O1903" t="str">
        <f>VLOOKUP(C1903,Customers!$A:$F,5,FALSE)</f>
        <v>Retail</v>
      </c>
      <c r="P1903">
        <f>VLOOKUP(C1903,Customers!$A:$F,3,FALSE)</f>
        <v>49</v>
      </c>
      <c r="Q1903" t="str">
        <f>VLOOKUP(E1903,Sales_Reps!$A:$E,3,FALSE)</f>
        <v>West</v>
      </c>
      <c r="R1903" t="str">
        <f>VLOOKUP(E1903,Sales_Reps!$A:$E,2,FALSE)</f>
        <v>Ramesh Bhatt</v>
      </c>
      <c r="S1903">
        <f t="shared" si="29"/>
        <v>0.28300492610837441</v>
      </c>
    </row>
    <row r="1904" spans="1:19" x14ac:dyDescent="0.3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  <c r="L1904" t="str">
        <f>VLOOKUP(D1904,Products!$A:$F,3,FALSE)</f>
        <v>Electronics</v>
      </c>
      <c r="M1904" t="b">
        <f>VLOOKUP(D1904,Products!$A:$F,6,FALSE)</f>
        <v>1</v>
      </c>
      <c r="N1904">
        <f>VLOOKUP(D1904,Products!$A:$F,4,FALSE)</f>
        <v>1149</v>
      </c>
      <c r="O1904" t="str">
        <f>VLOOKUP(C1904,Customers!$A:$F,5,FALSE)</f>
        <v>Retail</v>
      </c>
      <c r="P1904">
        <f>VLOOKUP(C1904,Customers!$A:$F,3,FALSE)</f>
        <v>28</v>
      </c>
      <c r="Q1904" t="str">
        <f>VLOOKUP(E1904,Sales_Reps!$A:$E,3,FALSE)</f>
        <v>North</v>
      </c>
      <c r="R1904" t="str">
        <f>VLOOKUP(E1904,Sales_Reps!$A:$E,2,FALSE)</f>
        <v>Neha Desai</v>
      </c>
      <c r="S1904">
        <f t="shared" si="29"/>
        <v>0.56477272727272732</v>
      </c>
    </row>
    <row r="1905" spans="1:19" x14ac:dyDescent="0.3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  <c r="L1905" t="str">
        <f>VLOOKUP(D1905,Products!$A:$F,3,FALSE)</f>
        <v>Home</v>
      </c>
      <c r="M1905" t="b">
        <f>VLOOKUP(D1905,Products!$A:$F,6,FALSE)</f>
        <v>1</v>
      </c>
      <c r="N1905">
        <f>VLOOKUP(D1905,Products!$A:$F,4,FALSE)</f>
        <v>1850</v>
      </c>
      <c r="O1905" t="str">
        <f>VLOOKUP(C1905,Customers!$A:$F,5,FALSE)</f>
        <v>Retail</v>
      </c>
      <c r="P1905">
        <f>VLOOKUP(C1905,Customers!$A:$F,3,FALSE)</f>
        <v>36</v>
      </c>
      <c r="Q1905" t="str">
        <f>VLOOKUP(E1905,Sales_Reps!$A:$E,3,FALSE)</f>
        <v>North</v>
      </c>
      <c r="R1905" t="str">
        <f>VLOOKUP(E1905,Sales_Reps!$A:$E,2,FALSE)</f>
        <v>Vikram Patel</v>
      </c>
      <c r="S1905">
        <f t="shared" si="29"/>
        <v>0.59869848156182215</v>
      </c>
    </row>
    <row r="1906" spans="1:19" x14ac:dyDescent="0.3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  <c r="L1906" t="str">
        <f>VLOOKUP(D1906,Products!$A:$F,3,FALSE)</f>
        <v>Grocery</v>
      </c>
      <c r="M1906" t="b">
        <f>VLOOKUP(D1906,Products!$A:$F,6,FALSE)</f>
        <v>1</v>
      </c>
      <c r="N1906">
        <f>VLOOKUP(D1906,Products!$A:$F,4,FALSE)</f>
        <v>1010</v>
      </c>
      <c r="O1906" t="str">
        <f>VLOOKUP(C1906,Customers!$A:$F,5,FALSE)</f>
        <v>Corporate</v>
      </c>
      <c r="P1906">
        <f>VLOOKUP(C1906,Customers!$A:$F,3,FALSE)</f>
        <v>29</v>
      </c>
      <c r="Q1906" t="str">
        <f>VLOOKUP(E1906,Sales_Reps!$A:$E,3,FALSE)</f>
        <v>West</v>
      </c>
      <c r="R1906" t="str">
        <f>VLOOKUP(E1906,Sales_Reps!$A:$E,2,FALSE)</f>
        <v>Preeti Shah</v>
      </c>
      <c r="S1906">
        <f t="shared" si="29"/>
        <v>0.54298642533936647</v>
      </c>
    </row>
    <row r="1907" spans="1:19" x14ac:dyDescent="0.3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  <c r="L1907" t="str">
        <f>VLOOKUP(D1907,Products!$A:$F,3,FALSE)</f>
        <v>Grocery</v>
      </c>
      <c r="M1907" t="b">
        <f>VLOOKUP(D1907,Products!$A:$F,6,FALSE)</f>
        <v>1</v>
      </c>
      <c r="N1907">
        <f>VLOOKUP(D1907,Products!$A:$F,4,FALSE)</f>
        <v>1010</v>
      </c>
      <c r="O1907" t="str">
        <f>VLOOKUP(C1907,Customers!$A:$F,5,FALSE)</f>
        <v>SMB</v>
      </c>
      <c r="P1907">
        <f>VLOOKUP(C1907,Customers!$A:$F,3,FALSE)</f>
        <v>29</v>
      </c>
      <c r="Q1907" t="str">
        <f>VLOOKUP(E1907,Sales_Reps!$A:$E,3,FALSE)</f>
        <v>South</v>
      </c>
      <c r="R1907" t="str">
        <f>VLOOKUP(E1907,Sales_Reps!$A:$E,2,FALSE)</f>
        <v>Anil Verma</v>
      </c>
      <c r="S1907">
        <f t="shared" si="29"/>
        <v>0.54298642533936647</v>
      </c>
    </row>
    <row r="1908" spans="1:19" x14ac:dyDescent="0.3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  <c r="L1908" t="str">
        <f>VLOOKUP(D1908,Products!$A:$F,3,FALSE)</f>
        <v>Home</v>
      </c>
      <c r="M1908" t="b">
        <f>VLOOKUP(D1908,Products!$A:$F,6,FALSE)</f>
        <v>1</v>
      </c>
      <c r="N1908">
        <f>VLOOKUP(D1908,Products!$A:$F,4,FALSE)</f>
        <v>464</v>
      </c>
      <c r="O1908" t="str">
        <f>VLOOKUP(C1908,Customers!$A:$F,5,FALSE)</f>
        <v>SMB</v>
      </c>
      <c r="P1908">
        <f>VLOOKUP(C1908,Customers!$A:$F,3,FALSE)</f>
        <v>44</v>
      </c>
      <c r="Q1908" t="str">
        <f>VLOOKUP(E1908,Sales_Reps!$A:$E,3,FALSE)</f>
        <v>South</v>
      </c>
      <c r="R1908" t="str">
        <f>VLOOKUP(E1908,Sales_Reps!$A:$E,2,FALSE)</f>
        <v>Sanjay Kapoor</v>
      </c>
      <c r="S1908">
        <f t="shared" si="29"/>
        <v>0.57431192660550456</v>
      </c>
    </row>
    <row r="1909" spans="1:19" x14ac:dyDescent="0.3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  <c r="L1909" t="str">
        <f>VLOOKUP(D1909,Products!$A:$F,3,FALSE)</f>
        <v>Home</v>
      </c>
      <c r="M1909" t="b">
        <f>VLOOKUP(D1909,Products!$A:$F,6,FALSE)</f>
        <v>1</v>
      </c>
      <c r="N1909">
        <f>VLOOKUP(D1909,Products!$A:$F,4,FALSE)</f>
        <v>288</v>
      </c>
      <c r="O1909" t="str">
        <f>VLOOKUP(C1909,Customers!$A:$F,5,FALSE)</f>
        <v>Retail</v>
      </c>
      <c r="P1909">
        <f>VLOOKUP(C1909,Customers!$A:$F,3,FALSE)</f>
        <v>44</v>
      </c>
      <c r="Q1909" t="str">
        <f>VLOOKUP(E1909,Sales_Reps!$A:$E,3,FALSE)</f>
        <v>North</v>
      </c>
      <c r="R1909" t="str">
        <f>VLOOKUP(E1909,Sales_Reps!$A:$E,2,FALSE)</f>
        <v>Amit Singh</v>
      </c>
      <c r="S1909">
        <f t="shared" si="29"/>
        <v>0.22162162162162163</v>
      </c>
    </row>
    <row r="1910" spans="1:19" x14ac:dyDescent="0.3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  <c r="L1910" t="str">
        <f>VLOOKUP(D1910,Products!$A:$F,3,FALSE)</f>
        <v>Electronics</v>
      </c>
      <c r="M1910" t="b">
        <f>VLOOKUP(D1910,Products!$A:$F,6,FALSE)</f>
        <v>1</v>
      </c>
      <c r="N1910">
        <f>VLOOKUP(D1910,Products!$A:$F,4,FALSE)</f>
        <v>1665</v>
      </c>
      <c r="O1910" t="str">
        <f>VLOOKUP(C1910,Customers!$A:$F,5,FALSE)</f>
        <v>Retail</v>
      </c>
      <c r="P1910">
        <f>VLOOKUP(C1910,Customers!$A:$F,3,FALSE)</f>
        <v>57</v>
      </c>
      <c r="Q1910" t="str">
        <f>VLOOKUP(E1910,Sales_Reps!$A:$E,3,FALSE)</f>
        <v>West</v>
      </c>
      <c r="R1910" t="str">
        <f>VLOOKUP(E1910,Sales_Reps!$A:$E,2,FALSE)</f>
        <v>Ashok Reddy</v>
      </c>
      <c r="S1910">
        <f t="shared" si="29"/>
        <v>0.53361344537815125</v>
      </c>
    </row>
    <row r="1911" spans="1:19" x14ac:dyDescent="0.3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  <c r="L1911" t="str">
        <f>VLOOKUP(D1911,Products!$A:$F,3,FALSE)</f>
        <v>Home</v>
      </c>
      <c r="M1911" t="b">
        <f>VLOOKUP(D1911,Products!$A:$F,6,FALSE)</f>
        <v>1</v>
      </c>
      <c r="N1911">
        <f>VLOOKUP(D1911,Products!$A:$F,4,FALSE)</f>
        <v>1556</v>
      </c>
      <c r="O1911" t="str">
        <f>VLOOKUP(C1911,Customers!$A:$F,5,FALSE)</f>
        <v>Retail</v>
      </c>
      <c r="P1911">
        <f>VLOOKUP(C1911,Customers!$A:$F,3,FALSE)</f>
        <v>42</v>
      </c>
      <c r="Q1911" t="str">
        <f>VLOOKUP(E1911,Sales_Reps!$A:$E,3,FALSE)</f>
        <v>South</v>
      </c>
      <c r="R1911" t="str">
        <f>VLOOKUP(E1911,Sales_Reps!$A:$E,2,FALSE)</f>
        <v>Anjali Chopra</v>
      </c>
      <c r="S1911">
        <f t="shared" si="29"/>
        <v>0.52123076923076928</v>
      </c>
    </row>
    <row r="1912" spans="1:19" x14ac:dyDescent="0.3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  <c r="L1912" t="str">
        <f>VLOOKUP(D1912,Products!$A:$F,3,FALSE)</f>
        <v>Home</v>
      </c>
      <c r="M1912" t="b">
        <f>VLOOKUP(D1912,Products!$A:$F,6,FALSE)</f>
        <v>1</v>
      </c>
      <c r="N1912">
        <f>VLOOKUP(D1912,Products!$A:$F,4,FALSE)</f>
        <v>1556</v>
      </c>
      <c r="O1912" t="str">
        <f>VLOOKUP(C1912,Customers!$A:$F,5,FALSE)</f>
        <v>Corporate</v>
      </c>
      <c r="P1912">
        <f>VLOOKUP(C1912,Customers!$A:$F,3,FALSE)</f>
        <v>62</v>
      </c>
      <c r="Q1912" t="str">
        <f>VLOOKUP(E1912,Sales_Reps!$A:$E,3,FALSE)</f>
        <v>West</v>
      </c>
      <c r="R1912" t="str">
        <f>VLOOKUP(E1912,Sales_Reps!$A:$E,2,FALSE)</f>
        <v>Preeti Shah</v>
      </c>
      <c r="S1912">
        <f t="shared" si="29"/>
        <v>0.52123076923076928</v>
      </c>
    </row>
    <row r="1913" spans="1:19" x14ac:dyDescent="0.3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  <c r="L1913" t="str">
        <f>VLOOKUP(D1913,Products!$A:$F,3,FALSE)</f>
        <v>Sports</v>
      </c>
      <c r="M1913" t="b">
        <f>VLOOKUP(D1913,Products!$A:$F,6,FALSE)</f>
        <v>1</v>
      </c>
      <c r="N1913">
        <f>VLOOKUP(D1913,Products!$A:$F,4,FALSE)</f>
        <v>705</v>
      </c>
      <c r="O1913" t="str">
        <f>VLOOKUP(C1913,Customers!$A:$F,5,FALSE)</f>
        <v>Retail</v>
      </c>
      <c r="P1913">
        <f>VLOOKUP(C1913,Customers!$A:$F,3,FALSE)</f>
        <v>49</v>
      </c>
      <c r="Q1913" t="str">
        <f>VLOOKUP(E1913,Sales_Reps!$A:$E,3,FALSE)</f>
        <v>West</v>
      </c>
      <c r="R1913" t="str">
        <f>VLOOKUP(E1913,Sales_Reps!$A:$E,2,FALSE)</f>
        <v>Rekha Chopra</v>
      </c>
      <c r="S1913">
        <f t="shared" si="29"/>
        <v>0.265625</v>
      </c>
    </row>
    <row r="1914" spans="1:19" x14ac:dyDescent="0.3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  <c r="L1914" t="str">
        <f>VLOOKUP(D1914,Products!$A:$F,3,FALSE)</f>
        <v>Beauty</v>
      </c>
      <c r="M1914" t="b">
        <f>VLOOKUP(D1914,Products!$A:$F,6,FALSE)</f>
        <v>1</v>
      </c>
      <c r="N1914">
        <f>VLOOKUP(D1914,Products!$A:$F,4,FALSE)</f>
        <v>2617</v>
      </c>
      <c r="O1914" t="str">
        <f>VLOOKUP(C1914,Customers!$A:$F,5,FALSE)</f>
        <v>SMB</v>
      </c>
      <c r="P1914">
        <f>VLOOKUP(C1914,Customers!$A:$F,3,FALSE)</f>
        <v>38</v>
      </c>
      <c r="Q1914" t="str">
        <f>VLOOKUP(E1914,Sales_Reps!$A:$E,3,FALSE)</f>
        <v>South</v>
      </c>
      <c r="R1914" t="str">
        <f>VLOOKUP(E1914,Sales_Reps!$A:$E,2,FALSE)</f>
        <v>Deepak Shah</v>
      </c>
      <c r="S1914">
        <f t="shared" si="29"/>
        <v>0.56957236842105263</v>
      </c>
    </row>
    <row r="1915" spans="1:19" x14ac:dyDescent="0.3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  <c r="L1915" t="str">
        <f>VLOOKUP(D1915,Products!$A:$F,3,FALSE)</f>
        <v>Home</v>
      </c>
      <c r="M1915" t="b">
        <f>VLOOKUP(D1915,Products!$A:$F,6,FALSE)</f>
        <v>1</v>
      </c>
      <c r="N1915">
        <f>VLOOKUP(D1915,Products!$A:$F,4,FALSE)</f>
        <v>1850</v>
      </c>
      <c r="O1915" t="str">
        <f>VLOOKUP(C1915,Customers!$A:$F,5,FALSE)</f>
        <v>Retail</v>
      </c>
      <c r="P1915">
        <f>VLOOKUP(C1915,Customers!$A:$F,3,FALSE)</f>
        <v>34</v>
      </c>
      <c r="Q1915" t="str">
        <f>VLOOKUP(E1915,Sales_Reps!$A:$E,3,FALSE)</f>
        <v>East</v>
      </c>
      <c r="R1915" t="str">
        <f>VLOOKUP(E1915,Sales_Reps!$A:$E,2,FALSE)</f>
        <v>Meera Iyer</v>
      </c>
      <c r="S1915">
        <f t="shared" si="29"/>
        <v>0.59869848156182215</v>
      </c>
    </row>
    <row r="1916" spans="1:19" x14ac:dyDescent="0.3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  <c r="L1916" t="str">
        <f>VLOOKUP(D1916,Products!$A:$F,3,FALSE)</f>
        <v>Home</v>
      </c>
      <c r="M1916" t="b">
        <f>VLOOKUP(D1916,Products!$A:$F,6,FALSE)</f>
        <v>1</v>
      </c>
      <c r="N1916">
        <f>VLOOKUP(D1916,Products!$A:$F,4,FALSE)</f>
        <v>2459</v>
      </c>
      <c r="O1916" t="str">
        <f>VLOOKUP(C1916,Customers!$A:$F,5,FALSE)</f>
        <v>Corporate</v>
      </c>
      <c r="P1916">
        <f>VLOOKUP(C1916,Customers!$A:$F,3,FALSE)</f>
        <v>34</v>
      </c>
      <c r="Q1916" t="str">
        <f>VLOOKUP(E1916,Sales_Reps!$A:$E,3,FALSE)</f>
        <v>East</v>
      </c>
      <c r="R1916" t="str">
        <f>VLOOKUP(E1916,Sales_Reps!$A:$E,2,FALSE)</f>
        <v>Gaurav Desai</v>
      </c>
      <c r="S1916">
        <f t="shared" si="29"/>
        <v>0.51594488188976373</v>
      </c>
    </row>
    <row r="1917" spans="1:19" x14ac:dyDescent="0.3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  <c r="L1917" t="str">
        <f>VLOOKUP(D1917,Products!$A:$F,3,FALSE)</f>
        <v>Beauty</v>
      </c>
      <c r="M1917" t="b">
        <f>VLOOKUP(D1917,Products!$A:$F,6,FALSE)</f>
        <v>1</v>
      </c>
      <c r="N1917">
        <f>VLOOKUP(D1917,Products!$A:$F,4,FALSE)</f>
        <v>1728</v>
      </c>
      <c r="O1917" t="str">
        <f>VLOOKUP(C1917,Customers!$A:$F,5,FALSE)</f>
        <v>Retail</v>
      </c>
      <c r="P1917">
        <f>VLOOKUP(C1917,Customers!$A:$F,3,FALSE)</f>
        <v>65</v>
      </c>
      <c r="Q1917" t="str">
        <f>VLOOKUP(E1917,Sales_Reps!$A:$E,3,FALSE)</f>
        <v>East</v>
      </c>
      <c r="R1917" t="str">
        <f>VLOOKUP(E1917,Sales_Reps!$A:$E,2,FALSE)</f>
        <v>Naveen Singh</v>
      </c>
      <c r="S1917">
        <f t="shared" si="29"/>
        <v>0.48417910447761192</v>
      </c>
    </row>
    <row r="1918" spans="1:19" x14ac:dyDescent="0.3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  <c r="L1918" t="str">
        <f>VLOOKUP(D1918,Products!$A:$F,3,FALSE)</f>
        <v>Grocery</v>
      </c>
      <c r="M1918" t="b">
        <f>VLOOKUP(D1918,Products!$A:$F,6,FALSE)</f>
        <v>1</v>
      </c>
      <c r="N1918">
        <f>VLOOKUP(D1918,Products!$A:$F,4,FALSE)</f>
        <v>2436</v>
      </c>
      <c r="O1918" t="str">
        <f>VLOOKUP(C1918,Customers!$A:$F,5,FALSE)</f>
        <v>Retail</v>
      </c>
      <c r="P1918">
        <f>VLOOKUP(C1918,Customers!$A:$F,3,FALSE)</f>
        <v>55</v>
      </c>
      <c r="Q1918" t="str">
        <f>VLOOKUP(E1918,Sales_Reps!$A:$E,3,FALSE)</f>
        <v>South</v>
      </c>
      <c r="R1918" t="str">
        <f>VLOOKUP(E1918,Sales_Reps!$A:$E,2,FALSE)</f>
        <v>Ritu Menon</v>
      </c>
      <c r="S1918">
        <f t="shared" si="29"/>
        <v>0.35555555555555557</v>
      </c>
    </row>
    <row r="1919" spans="1:19" x14ac:dyDescent="0.3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  <c r="L1919" t="str">
        <f>VLOOKUP(D1919,Products!$A:$F,3,FALSE)</f>
        <v>Beauty</v>
      </c>
      <c r="M1919" t="b">
        <f>VLOOKUP(D1919,Products!$A:$F,6,FALSE)</f>
        <v>1</v>
      </c>
      <c r="N1919">
        <f>VLOOKUP(D1919,Products!$A:$F,4,FALSE)</f>
        <v>2768</v>
      </c>
      <c r="O1919" t="str">
        <f>VLOOKUP(C1919,Customers!$A:$F,5,FALSE)</f>
        <v>Corporate</v>
      </c>
      <c r="P1919">
        <f>VLOOKUP(C1919,Customers!$A:$F,3,FALSE)</f>
        <v>55</v>
      </c>
      <c r="Q1919" t="str">
        <f>VLOOKUP(E1919,Sales_Reps!$A:$E,3,FALSE)</f>
        <v>East</v>
      </c>
      <c r="R1919" t="str">
        <f>VLOOKUP(E1919,Sales_Reps!$A:$E,2,FALSE)</f>
        <v>Meera Iyer</v>
      </c>
      <c r="S1919">
        <f t="shared" si="29"/>
        <v>0.43278688524590164</v>
      </c>
    </row>
    <row r="1920" spans="1:19" x14ac:dyDescent="0.3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  <c r="L1920" t="str">
        <f>VLOOKUP(D1920,Products!$A:$F,3,FALSE)</f>
        <v>Beauty</v>
      </c>
      <c r="M1920" t="b">
        <f>VLOOKUP(D1920,Products!$A:$F,6,FALSE)</f>
        <v>1</v>
      </c>
      <c r="N1920">
        <f>VLOOKUP(D1920,Products!$A:$F,4,FALSE)</f>
        <v>2237</v>
      </c>
      <c r="O1920" t="str">
        <f>VLOOKUP(C1920,Customers!$A:$F,5,FALSE)</f>
        <v>Corporate</v>
      </c>
      <c r="P1920">
        <f>VLOOKUP(C1920,Customers!$A:$F,3,FALSE)</f>
        <v>41</v>
      </c>
      <c r="Q1920" t="str">
        <f>VLOOKUP(E1920,Sales_Reps!$A:$E,3,FALSE)</f>
        <v>West</v>
      </c>
      <c r="R1920" t="str">
        <f>VLOOKUP(E1920,Sales_Reps!$A:$E,2,FALSE)</f>
        <v>Arun Iyer</v>
      </c>
      <c r="S1920">
        <f t="shared" si="29"/>
        <v>0.56137254901960787</v>
      </c>
    </row>
    <row r="1921" spans="1:19" x14ac:dyDescent="0.3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  <c r="L1921" t="str">
        <f>VLOOKUP(D1921,Products!$A:$F,3,FALSE)</f>
        <v>Electronics</v>
      </c>
      <c r="M1921" t="b">
        <f>VLOOKUP(D1921,Products!$A:$F,6,FALSE)</f>
        <v>0</v>
      </c>
      <c r="N1921">
        <f>VLOOKUP(D1921,Products!$A:$F,4,FALSE)</f>
        <v>1259</v>
      </c>
      <c r="O1921" t="str">
        <f>VLOOKUP(C1921,Customers!$A:$F,5,FALSE)</f>
        <v>Retail</v>
      </c>
      <c r="P1921">
        <f>VLOOKUP(C1921,Customers!$A:$F,3,FALSE)</f>
        <v>27</v>
      </c>
      <c r="Q1921" t="str">
        <f>VLOOKUP(E1921,Sales_Reps!$A:$E,3,FALSE)</f>
        <v>East</v>
      </c>
      <c r="R1921" t="str">
        <f>VLOOKUP(E1921,Sales_Reps!$A:$E,2,FALSE)</f>
        <v>Vinod Kumar</v>
      </c>
      <c r="S1921">
        <f t="shared" si="29"/>
        <v>0.52669172932330832</v>
      </c>
    </row>
    <row r="1922" spans="1:19" x14ac:dyDescent="0.3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  <c r="L1922" t="str">
        <f>VLOOKUP(D1922,Products!$A:$F,3,FALSE)</f>
        <v>Grocery</v>
      </c>
      <c r="M1922" t="b">
        <f>VLOOKUP(D1922,Products!$A:$F,6,FALSE)</f>
        <v>1</v>
      </c>
      <c r="N1922">
        <f>VLOOKUP(D1922,Products!$A:$F,4,FALSE)</f>
        <v>1182</v>
      </c>
      <c r="O1922" t="str">
        <f>VLOOKUP(C1922,Customers!$A:$F,5,FALSE)</f>
        <v>SMB</v>
      </c>
      <c r="P1922">
        <f>VLOOKUP(C1922,Customers!$A:$F,3,FALSE)</f>
        <v>28</v>
      </c>
      <c r="Q1922" t="str">
        <f>VLOOKUP(E1922,Sales_Reps!$A:$E,3,FALSE)</f>
        <v>East</v>
      </c>
      <c r="R1922" t="str">
        <f>VLOOKUP(E1922,Sales_Reps!$A:$E,2,FALSE)</f>
        <v>Naveen Singh</v>
      </c>
      <c r="S1922">
        <f t="shared" si="29"/>
        <v>0.50336134453781511</v>
      </c>
    </row>
    <row r="1923" spans="1:19" x14ac:dyDescent="0.3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  <c r="L1923" t="str">
        <f>VLOOKUP(D1923,Products!$A:$F,3,FALSE)</f>
        <v>Beauty</v>
      </c>
      <c r="M1923" t="b">
        <f>VLOOKUP(D1923,Products!$A:$F,6,FALSE)</f>
        <v>1</v>
      </c>
      <c r="N1923">
        <f>VLOOKUP(D1923,Products!$A:$F,4,FALSE)</f>
        <v>2768</v>
      </c>
      <c r="O1923" t="str">
        <f>VLOOKUP(C1923,Customers!$A:$F,5,FALSE)</f>
        <v>Retail</v>
      </c>
      <c r="P1923">
        <f>VLOOKUP(C1923,Customers!$A:$F,3,FALSE)</f>
        <v>36</v>
      </c>
      <c r="Q1923" t="str">
        <f>VLOOKUP(E1923,Sales_Reps!$A:$E,3,FALSE)</f>
        <v>North</v>
      </c>
      <c r="R1923" t="str">
        <f>VLOOKUP(E1923,Sales_Reps!$A:$E,2,FALSE)</f>
        <v>Sunita Malhotra</v>
      </c>
      <c r="S1923">
        <f t="shared" ref="S1923:S1986" si="30">IFERROR((G1923-N1923)/G1923,"")</f>
        <v>0.43278688524590164</v>
      </c>
    </row>
    <row r="1924" spans="1:19" x14ac:dyDescent="0.3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  <c r="L1924" t="str">
        <f>VLOOKUP(D1924,Products!$A:$F,3,FALSE)</f>
        <v>Home</v>
      </c>
      <c r="M1924" t="b">
        <f>VLOOKUP(D1924,Products!$A:$F,6,FALSE)</f>
        <v>1</v>
      </c>
      <c r="N1924">
        <f>VLOOKUP(D1924,Products!$A:$F,4,FALSE)</f>
        <v>2135</v>
      </c>
      <c r="O1924" t="str">
        <f>VLOOKUP(C1924,Customers!$A:$F,5,FALSE)</f>
        <v>SMB</v>
      </c>
      <c r="P1924">
        <f>VLOOKUP(C1924,Customers!$A:$F,3,FALSE)</f>
        <v>25</v>
      </c>
      <c r="Q1924" t="str">
        <f>VLOOKUP(E1924,Sales_Reps!$A:$E,3,FALSE)</f>
        <v>South</v>
      </c>
      <c r="R1924" t="str">
        <f>VLOOKUP(E1924,Sales_Reps!$A:$E,2,FALSE)</f>
        <v>Ritu Menon</v>
      </c>
      <c r="S1924">
        <f t="shared" si="30"/>
        <v>0.42761394101876676</v>
      </c>
    </row>
    <row r="1925" spans="1:19" x14ac:dyDescent="0.3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  <c r="L1925" t="str">
        <f>VLOOKUP(D1925,Products!$A:$F,3,FALSE)</f>
        <v>Sports</v>
      </c>
      <c r="M1925" t="b">
        <f>VLOOKUP(D1925,Products!$A:$F,6,FALSE)</f>
        <v>1</v>
      </c>
      <c r="N1925">
        <f>VLOOKUP(D1925,Products!$A:$F,4,FALSE)</f>
        <v>1860</v>
      </c>
      <c r="O1925" t="str">
        <f>VLOOKUP(C1925,Customers!$A:$F,5,FALSE)</f>
        <v>Retail</v>
      </c>
      <c r="P1925">
        <f>VLOOKUP(C1925,Customers!$A:$F,3,FALSE)</f>
        <v>27</v>
      </c>
      <c r="Q1925" t="str">
        <f>VLOOKUP(E1925,Sales_Reps!$A:$E,3,FALSE)</f>
        <v>North</v>
      </c>
      <c r="R1925" t="str">
        <f>VLOOKUP(E1925,Sales_Reps!$A:$E,2,FALSE)</f>
        <v>Amit Singh</v>
      </c>
      <c r="S1925">
        <f t="shared" si="30"/>
        <v>0.50793650793650791</v>
      </c>
    </row>
    <row r="1926" spans="1:19" x14ac:dyDescent="0.3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  <c r="L1926" t="str">
        <f>VLOOKUP(D1926,Products!$A:$F,3,FALSE)</f>
        <v>Apparel</v>
      </c>
      <c r="M1926" t="b">
        <f>VLOOKUP(D1926,Products!$A:$F,6,FALSE)</f>
        <v>1</v>
      </c>
      <c r="N1926">
        <f>VLOOKUP(D1926,Products!$A:$F,4,FALSE)</f>
        <v>2509</v>
      </c>
      <c r="O1926" t="str">
        <f>VLOOKUP(C1926,Customers!$A:$F,5,FALSE)</f>
        <v>SMB</v>
      </c>
      <c r="P1926">
        <f>VLOOKUP(C1926,Customers!$A:$F,3,FALSE)</f>
        <v>51</v>
      </c>
      <c r="Q1926" t="str">
        <f>VLOOKUP(E1926,Sales_Reps!$A:$E,3,FALSE)</f>
        <v>East</v>
      </c>
      <c r="R1926" t="str">
        <f>VLOOKUP(E1926,Sales_Reps!$A:$E,2,FALSE)</f>
        <v>Vinod Kumar</v>
      </c>
      <c r="S1926">
        <f t="shared" si="30"/>
        <v>0.3069060773480663</v>
      </c>
    </row>
    <row r="1927" spans="1:19" x14ac:dyDescent="0.3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  <c r="L1927" t="str">
        <f>VLOOKUP(D1927,Products!$A:$F,3,FALSE)</f>
        <v>Home</v>
      </c>
      <c r="M1927" t="b">
        <f>VLOOKUP(D1927,Products!$A:$F,6,FALSE)</f>
        <v>1</v>
      </c>
      <c r="N1927">
        <f>VLOOKUP(D1927,Products!$A:$F,4,FALSE)</f>
        <v>2459</v>
      </c>
      <c r="O1927" t="str">
        <f>VLOOKUP(C1927,Customers!$A:$F,5,FALSE)</f>
        <v>Retail</v>
      </c>
      <c r="P1927">
        <f>VLOOKUP(C1927,Customers!$A:$F,3,FALSE)</f>
        <v>33</v>
      </c>
      <c r="Q1927" t="str">
        <f>VLOOKUP(E1927,Sales_Reps!$A:$E,3,FALSE)</f>
        <v>East</v>
      </c>
      <c r="R1927" t="str">
        <f>VLOOKUP(E1927,Sales_Reps!$A:$E,2,FALSE)</f>
        <v>Gaurav Desai</v>
      </c>
      <c r="S1927">
        <f t="shared" si="30"/>
        <v>0.51594488188976373</v>
      </c>
    </row>
    <row r="1928" spans="1:19" x14ac:dyDescent="0.3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  <c r="L1928" t="str">
        <f>VLOOKUP(D1928,Products!$A:$F,3,FALSE)</f>
        <v>Apparel</v>
      </c>
      <c r="M1928" t="b">
        <f>VLOOKUP(D1928,Products!$A:$F,6,FALSE)</f>
        <v>1</v>
      </c>
      <c r="N1928">
        <f>VLOOKUP(D1928,Products!$A:$F,4,FALSE)</f>
        <v>2629</v>
      </c>
      <c r="O1928" t="str">
        <f>VLOOKUP(C1928,Customers!$A:$F,5,FALSE)</f>
        <v>SMB</v>
      </c>
      <c r="P1928">
        <f>VLOOKUP(C1928,Customers!$A:$F,3,FALSE)</f>
        <v>28</v>
      </c>
      <c r="Q1928" t="str">
        <f>VLOOKUP(E1928,Sales_Reps!$A:$E,3,FALSE)</f>
        <v>West</v>
      </c>
      <c r="R1928" t="str">
        <f>VLOOKUP(E1928,Sales_Reps!$A:$E,2,FALSE)</f>
        <v>Rekha Chopra</v>
      </c>
      <c r="S1928">
        <f t="shared" si="30"/>
        <v>0.26151685393258428</v>
      </c>
    </row>
    <row r="1929" spans="1:19" x14ac:dyDescent="0.3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  <c r="L1929" t="str">
        <f>VLOOKUP(D1929,Products!$A:$F,3,FALSE)</f>
        <v>Grocery</v>
      </c>
      <c r="M1929" t="b">
        <f>VLOOKUP(D1929,Products!$A:$F,6,FALSE)</f>
        <v>1</v>
      </c>
      <c r="N1929">
        <f>VLOOKUP(D1929,Products!$A:$F,4,FALSE)</f>
        <v>434</v>
      </c>
      <c r="O1929" t="str">
        <f>VLOOKUP(C1929,Customers!$A:$F,5,FALSE)</f>
        <v>Retail</v>
      </c>
      <c r="P1929">
        <f>VLOOKUP(C1929,Customers!$A:$F,3,FALSE)</f>
        <v>37</v>
      </c>
      <c r="Q1929" t="str">
        <f>VLOOKUP(E1929,Sales_Reps!$A:$E,3,FALSE)</f>
        <v>North</v>
      </c>
      <c r="R1929" t="str">
        <f>VLOOKUP(E1929,Sales_Reps!$A:$E,2,FALSE)</f>
        <v>Rajesh Malhotra</v>
      </c>
      <c r="S1929">
        <f t="shared" si="30"/>
        <v>0.5525773195876289</v>
      </c>
    </row>
    <row r="1930" spans="1:19" x14ac:dyDescent="0.3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  <c r="L1930" t="str">
        <f>VLOOKUP(D1930,Products!$A:$F,3,FALSE)</f>
        <v>Beauty</v>
      </c>
      <c r="M1930" t="b">
        <f>VLOOKUP(D1930,Products!$A:$F,6,FALSE)</f>
        <v>1</v>
      </c>
      <c r="N1930">
        <f>VLOOKUP(D1930,Products!$A:$F,4,FALSE)</f>
        <v>1728</v>
      </c>
      <c r="O1930" t="str">
        <f>VLOOKUP(C1930,Customers!$A:$F,5,FALSE)</f>
        <v>Retail</v>
      </c>
      <c r="P1930">
        <f>VLOOKUP(C1930,Customers!$A:$F,3,FALSE)</f>
        <v>49</v>
      </c>
      <c r="Q1930" t="str">
        <f>VLOOKUP(E1930,Sales_Reps!$A:$E,3,FALSE)</f>
        <v>South</v>
      </c>
      <c r="R1930" t="str">
        <f>VLOOKUP(E1930,Sales_Reps!$A:$E,2,FALSE)</f>
        <v>Ritu Menon</v>
      </c>
      <c r="S1930">
        <f t="shared" si="30"/>
        <v>0.48417910447761192</v>
      </c>
    </row>
    <row r="1931" spans="1:19" x14ac:dyDescent="0.3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  <c r="L1931" t="str">
        <f>VLOOKUP(D1931,Products!$A:$F,3,FALSE)</f>
        <v>Home</v>
      </c>
      <c r="M1931" t="b">
        <f>VLOOKUP(D1931,Products!$A:$F,6,FALSE)</f>
        <v>1</v>
      </c>
      <c r="N1931">
        <f>VLOOKUP(D1931,Products!$A:$F,4,FALSE)</f>
        <v>288</v>
      </c>
      <c r="O1931" t="e">
        <f>VLOOKUP(C1931,Customers!$A:$F,5,FALSE)</f>
        <v>#N/A</v>
      </c>
      <c r="P1931" t="e">
        <f>VLOOKUP(C1931,Customers!$A:$F,3,FALSE)</f>
        <v>#N/A</v>
      </c>
      <c r="Q1931" t="str">
        <f>VLOOKUP(E1931,Sales_Reps!$A:$E,3,FALSE)</f>
        <v>South</v>
      </c>
      <c r="R1931" t="str">
        <f>VLOOKUP(E1931,Sales_Reps!$A:$E,2,FALSE)</f>
        <v>Anil Verma</v>
      </c>
      <c r="S1931">
        <f t="shared" si="30"/>
        <v>0.22162162162162163</v>
      </c>
    </row>
    <row r="1932" spans="1:19" x14ac:dyDescent="0.3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  <c r="L1932" t="str">
        <f>VLOOKUP(D1932,Products!$A:$F,3,FALSE)</f>
        <v>Grocery</v>
      </c>
      <c r="M1932" t="b">
        <f>VLOOKUP(D1932,Products!$A:$F,6,FALSE)</f>
        <v>1</v>
      </c>
      <c r="N1932">
        <f>VLOOKUP(D1932,Products!$A:$F,4,FALSE)</f>
        <v>1203</v>
      </c>
      <c r="O1932" t="str">
        <f>VLOOKUP(C1932,Customers!$A:$F,5,FALSE)</f>
        <v>Corporate</v>
      </c>
      <c r="P1932">
        <f>VLOOKUP(C1932,Customers!$A:$F,3,FALSE)</f>
        <v>55</v>
      </c>
      <c r="Q1932" t="str">
        <f>VLOOKUP(E1932,Sales_Reps!$A:$E,3,FALSE)</f>
        <v>South</v>
      </c>
      <c r="R1932" t="str">
        <f>VLOOKUP(E1932,Sales_Reps!$A:$E,2,FALSE)</f>
        <v>Anil Verma</v>
      </c>
      <c r="S1932">
        <f t="shared" si="30"/>
        <v>0.47004405286343615</v>
      </c>
    </row>
    <row r="1933" spans="1:19" x14ac:dyDescent="0.3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  <c r="L1933" t="str">
        <f>VLOOKUP(D1933,Products!$A:$F,3,FALSE)</f>
        <v>Sports</v>
      </c>
      <c r="M1933" t="b">
        <f>VLOOKUP(D1933,Products!$A:$F,6,FALSE)</f>
        <v>1</v>
      </c>
      <c r="N1933">
        <f>VLOOKUP(D1933,Products!$A:$F,4,FALSE)</f>
        <v>2467</v>
      </c>
      <c r="O1933" t="str">
        <f>VLOOKUP(C1933,Customers!$A:$F,5,FALSE)</f>
        <v>Corporate</v>
      </c>
      <c r="P1933">
        <f>VLOOKUP(C1933,Customers!$A:$F,3,FALSE)</f>
        <v>41</v>
      </c>
      <c r="Q1933" t="str">
        <f>VLOOKUP(E1933,Sales_Reps!$A:$E,3,FALSE)</f>
        <v>East</v>
      </c>
      <c r="R1933" t="str">
        <f>VLOOKUP(E1933,Sales_Reps!$A:$E,2,FALSE)</f>
        <v>Gaurav Desai</v>
      </c>
      <c r="S1933">
        <f t="shared" si="30"/>
        <v>0.28492753623188405</v>
      </c>
    </row>
    <row r="1934" spans="1:19" x14ac:dyDescent="0.3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  <c r="L1934" t="str">
        <f>VLOOKUP(D1934,Products!$A:$F,3,FALSE)</f>
        <v>Sports</v>
      </c>
      <c r="M1934" t="b">
        <f>VLOOKUP(D1934,Products!$A:$F,6,FALSE)</f>
        <v>1</v>
      </c>
      <c r="N1934">
        <f>VLOOKUP(D1934,Products!$A:$F,4,FALSE)</f>
        <v>516</v>
      </c>
      <c r="O1934" t="str">
        <f>VLOOKUP(C1934,Customers!$A:$F,5,FALSE)</f>
        <v>Retail</v>
      </c>
      <c r="P1934">
        <f>VLOOKUP(C1934,Customers!$A:$F,3,FALSE)</f>
        <v>29</v>
      </c>
      <c r="Q1934" t="str">
        <f>VLOOKUP(E1934,Sales_Reps!$A:$E,3,FALSE)</f>
        <v>North</v>
      </c>
      <c r="R1934" t="str">
        <f>VLOOKUP(E1934,Sales_Reps!$A:$E,2,FALSE)</f>
        <v>Kavita Patel</v>
      </c>
      <c r="S1934">
        <f t="shared" si="30"/>
        <v>0.4891089108910891</v>
      </c>
    </row>
    <row r="1935" spans="1:19" x14ac:dyDescent="0.3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  <c r="L1935" t="str">
        <f>VLOOKUP(D1935,Products!$A:$F,3,FALSE)</f>
        <v>Home</v>
      </c>
      <c r="M1935" t="b">
        <f>VLOOKUP(D1935,Products!$A:$F,6,FALSE)</f>
        <v>1</v>
      </c>
      <c r="N1935">
        <f>VLOOKUP(D1935,Products!$A:$F,4,FALSE)</f>
        <v>1850</v>
      </c>
      <c r="O1935" t="str">
        <f>VLOOKUP(C1935,Customers!$A:$F,5,FALSE)</f>
        <v>Retail</v>
      </c>
      <c r="P1935">
        <f>VLOOKUP(C1935,Customers!$A:$F,3,FALSE)</f>
        <v>33</v>
      </c>
      <c r="Q1935" t="str">
        <f>VLOOKUP(E1935,Sales_Reps!$A:$E,3,FALSE)</f>
        <v>North</v>
      </c>
      <c r="R1935" t="str">
        <f>VLOOKUP(E1935,Sales_Reps!$A:$E,2,FALSE)</f>
        <v>Amit Singh</v>
      </c>
      <c r="S1935">
        <f t="shared" si="30"/>
        <v>0.59869848156182215</v>
      </c>
    </row>
    <row r="1936" spans="1:19" x14ac:dyDescent="0.3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  <c r="L1936" t="str">
        <f>VLOOKUP(D1936,Products!$A:$F,3,FALSE)</f>
        <v>Home</v>
      </c>
      <c r="M1936" t="b">
        <f>VLOOKUP(D1936,Products!$A:$F,6,FALSE)</f>
        <v>1</v>
      </c>
      <c r="N1936">
        <f>VLOOKUP(D1936,Products!$A:$F,4,FALSE)</f>
        <v>288</v>
      </c>
      <c r="O1936" t="str">
        <f>VLOOKUP(C1936,Customers!$A:$F,5,FALSE)</f>
        <v>Retail</v>
      </c>
      <c r="P1936">
        <f>VLOOKUP(C1936,Customers!$A:$F,3,FALSE)</f>
        <v>59</v>
      </c>
      <c r="Q1936" t="str">
        <f>VLOOKUP(E1936,Sales_Reps!$A:$E,3,FALSE)</f>
        <v>North</v>
      </c>
      <c r="R1936" t="str">
        <f>VLOOKUP(E1936,Sales_Reps!$A:$E,2,FALSE)</f>
        <v>Amit Singh</v>
      </c>
      <c r="S1936">
        <f t="shared" si="30"/>
        <v>0.22162162162162163</v>
      </c>
    </row>
    <row r="1937" spans="1:19" x14ac:dyDescent="0.3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  <c r="L1937" t="str">
        <f>VLOOKUP(D1937,Products!$A:$F,3,FALSE)</f>
        <v>Grocery</v>
      </c>
      <c r="M1937" t="b">
        <f>VLOOKUP(D1937,Products!$A:$F,6,FALSE)</f>
        <v>1</v>
      </c>
      <c r="N1937">
        <f>VLOOKUP(D1937,Products!$A:$F,4,FALSE)</f>
        <v>1182</v>
      </c>
      <c r="O1937" t="str">
        <f>VLOOKUP(C1937,Customers!$A:$F,5,FALSE)</f>
        <v>Corporate</v>
      </c>
      <c r="P1937">
        <f>VLOOKUP(C1937,Customers!$A:$F,3,FALSE)</f>
        <v>24</v>
      </c>
      <c r="Q1937" t="str">
        <f>VLOOKUP(E1937,Sales_Reps!$A:$E,3,FALSE)</f>
        <v>West</v>
      </c>
      <c r="R1937" t="str">
        <f>VLOOKUP(E1937,Sales_Reps!$A:$E,2,FALSE)</f>
        <v>Sonia Malhotra</v>
      </c>
      <c r="S1937">
        <f t="shared" si="30"/>
        <v>0.50336134453781511</v>
      </c>
    </row>
    <row r="1938" spans="1:19" x14ac:dyDescent="0.3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  <c r="L1938" t="str">
        <f>VLOOKUP(D1938,Products!$A:$F,3,FALSE)</f>
        <v>Beauty</v>
      </c>
      <c r="M1938" t="b">
        <f>VLOOKUP(D1938,Products!$A:$F,6,FALSE)</f>
        <v>1</v>
      </c>
      <c r="N1938">
        <f>VLOOKUP(D1938,Products!$A:$F,4,FALSE)</f>
        <v>675</v>
      </c>
      <c r="O1938" t="str">
        <f>VLOOKUP(C1938,Customers!$A:$F,5,FALSE)</f>
        <v>SMB</v>
      </c>
      <c r="P1938">
        <f>VLOOKUP(C1938,Customers!$A:$F,3,FALSE)</f>
        <v>40</v>
      </c>
      <c r="Q1938" t="str">
        <f>VLOOKUP(E1938,Sales_Reps!$A:$E,3,FALSE)</f>
        <v>East</v>
      </c>
      <c r="R1938" t="str">
        <f>VLOOKUP(E1938,Sales_Reps!$A:$E,2,FALSE)</f>
        <v>Vinod Kumar</v>
      </c>
      <c r="S1938">
        <f t="shared" si="30"/>
        <v>0.296875</v>
      </c>
    </row>
    <row r="1939" spans="1:19" x14ac:dyDescent="0.3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  <c r="L1939" t="str">
        <f>VLOOKUP(D1939,Products!$A:$F,3,FALSE)</f>
        <v>Sports</v>
      </c>
      <c r="M1939" t="b">
        <f>VLOOKUP(D1939,Products!$A:$F,6,FALSE)</f>
        <v>1</v>
      </c>
      <c r="N1939">
        <f>VLOOKUP(D1939,Products!$A:$F,4,FALSE)</f>
        <v>705</v>
      </c>
      <c r="O1939" t="str">
        <f>VLOOKUP(C1939,Customers!$A:$F,5,FALSE)</f>
        <v>Retail</v>
      </c>
      <c r="P1939">
        <f>VLOOKUP(C1939,Customers!$A:$F,3,FALSE)</f>
        <v>48</v>
      </c>
      <c r="Q1939" t="str">
        <f>VLOOKUP(E1939,Sales_Reps!$A:$E,3,FALSE)</f>
        <v>North</v>
      </c>
      <c r="R1939" t="str">
        <f>VLOOKUP(E1939,Sales_Reps!$A:$E,2,FALSE)</f>
        <v>Sunita Malhotra</v>
      </c>
      <c r="S1939">
        <f t="shared" si="30"/>
        <v>0.265625</v>
      </c>
    </row>
    <row r="1940" spans="1:19" x14ac:dyDescent="0.3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  <c r="L1940" t="str">
        <f>VLOOKUP(D1940,Products!$A:$F,3,FALSE)</f>
        <v>Apparel</v>
      </c>
      <c r="M1940" t="b">
        <f>VLOOKUP(D1940,Products!$A:$F,6,FALSE)</f>
        <v>1</v>
      </c>
      <c r="N1940">
        <f>VLOOKUP(D1940,Products!$A:$F,4,FALSE)</f>
        <v>396</v>
      </c>
      <c r="O1940" t="str">
        <f>VLOOKUP(C1940,Customers!$A:$F,5,FALSE)</f>
        <v>Retail</v>
      </c>
      <c r="P1940">
        <f>VLOOKUP(C1940,Customers!$A:$F,3,FALSE)</f>
        <v>65</v>
      </c>
      <c r="Q1940" t="str">
        <f>VLOOKUP(E1940,Sales_Reps!$A:$E,3,FALSE)</f>
        <v>West</v>
      </c>
      <c r="R1940" t="str">
        <f>VLOOKUP(E1940,Sales_Reps!$A:$E,2,FALSE)</f>
        <v>Arun Iyer</v>
      </c>
      <c r="S1940">
        <f t="shared" si="30"/>
        <v>0.36129032258064514</v>
      </c>
    </row>
    <row r="1941" spans="1:19" x14ac:dyDescent="0.3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  <c r="L1941" t="str">
        <f>VLOOKUP(D1941,Products!$A:$F,3,FALSE)</f>
        <v>Sports</v>
      </c>
      <c r="M1941" t="b">
        <f>VLOOKUP(D1941,Products!$A:$F,6,FALSE)</f>
        <v>1</v>
      </c>
      <c r="N1941">
        <f>VLOOKUP(D1941,Products!$A:$F,4,FALSE)</f>
        <v>705</v>
      </c>
      <c r="O1941" t="str">
        <f>VLOOKUP(C1941,Customers!$A:$F,5,FALSE)</f>
        <v>Retail</v>
      </c>
      <c r="P1941">
        <f>VLOOKUP(C1941,Customers!$A:$F,3,FALSE)</f>
        <v>54</v>
      </c>
      <c r="Q1941" t="str">
        <f>VLOOKUP(E1941,Sales_Reps!$A:$E,3,FALSE)</f>
        <v>East</v>
      </c>
      <c r="R1941" t="str">
        <f>VLOOKUP(E1941,Sales_Reps!$A:$E,2,FALSE)</f>
        <v>Meera Iyer</v>
      </c>
      <c r="S1941">
        <f t="shared" si="30"/>
        <v>0.265625</v>
      </c>
    </row>
    <row r="1942" spans="1:19" x14ac:dyDescent="0.3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  <c r="L1942" t="str">
        <f>VLOOKUP(D1942,Products!$A:$F,3,FALSE)</f>
        <v>Beauty</v>
      </c>
      <c r="M1942" t="b">
        <f>VLOOKUP(D1942,Products!$A:$F,6,FALSE)</f>
        <v>1</v>
      </c>
      <c r="N1942">
        <f>VLOOKUP(D1942,Products!$A:$F,4,FALSE)</f>
        <v>2420</v>
      </c>
      <c r="O1942" t="str">
        <f>VLOOKUP(C1942,Customers!$A:$F,5,FALSE)</f>
        <v>Retail</v>
      </c>
      <c r="P1942">
        <f>VLOOKUP(C1942,Customers!$A:$F,3,FALSE)</f>
        <v>57</v>
      </c>
      <c r="Q1942" t="str">
        <f>VLOOKUP(E1942,Sales_Reps!$A:$E,3,FALSE)</f>
        <v>West</v>
      </c>
      <c r="R1942" t="str">
        <f>VLOOKUP(E1942,Sales_Reps!$A:$E,2,FALSE)</f>
        <v>Preeti Shah</v>
      </c>
      <c r="S1942">
        <f t="shared" si="30"/>
        <v>0.29855072463768118</v>
      </c>
    </row>
    <row r="1943" spans="1:19" x14ac:dyDescent="0.3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  <c r="L1943" t="str">
        <f>VLOOKUP(D1943,Products!$A:$F,3,FALSE)</f>
        <v>Apparel</v>
      </c>
      <c r="M1943" t="b">
        <f>VLOOKUP(D1943,Products!$A:$F,6,FALSE)</f>
        <v>1</v>
      </c>
      <c r="N1943">
        <f>VLOOKUP(D1943,Products!$A:$F,4,FALSE)</f>
        <v>1962</v>
      </c>
      <c r="O1943" t="str">
        <f>VLOOKUP(C1943,Customers!$A:$F,5,FALSE)</f>
        <v>SMB</v>
      </c>
      <c r="P1943">
        <f>VLOOKUP(C1943,Customers!$A:$F,3,FALSE)</f>
        <v>43</v>
      </c>
      <c r="Q1943" t="str">
        <f>VLOOKUP(E1943,Sales_Reps!$A:$E,3,FALSE)</f>
        <v>East</v>
      </c>
      <c r="R1943" t="str">
        <f>VLOOKUP(E1943,Sales_Reps!$A:$E,2,FALSE)</f>
        <v>Prakash Shah</v>
      </c>
      <c r="S1943">
        <f t="shared" si="30"/>
        <v>0.2786764705882353</v>
      </c>
    </row>
    <row r="1944" spans="1:19" x14ac:dyDescent="0.3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  <c r="L1944" t="str">
        <f>VLOOKUP(D1944,Products!$A:$F,3,FALSE)</f>
        <v>Beauty</v>
      </c>
      <c r="M1944" t="b">
        <f>VLOOKUP(D1944,Products!$A:$F,6,FALSE)</f>
        <v>1</v>
      </c>
      <c r="N1944">
        <f>VLOOKUP(D1944,Products!$A:$F,4,FALSE)</f>
        <v>2420</v>
      </c>
      <c r="O1944" t="str">
        <f>VLOOKUP(C1944,Customers!$A:$F,5,FALSE)</f>
        <v>SMB</v>
      </c>
      <c r="P1944">
        <f>VLOOKUP(C1944,Customers!$A:$F,3,FALSE)</f>
        <v>65</v>
      </c>
      <c r="Q1944" t="str">
        <f>VLOOKUP(E1944,Sales_Reps!$A:$E,3,FALSE)</f>
        <v>East</v>
      </c>
      <c r="R1944" t="str">
        <f>VLOOKUP(E1944,Sales_Reps!$A:$E,2,FALSE)</f>
        <v>Prakash Shah</v>
      </c>
      <c r="S1944">
        <f t="shared" si="30"/>
        <v>0.29855072463768118</v>
      </c>
    </row>
    <row r="1945" spans="1:19" x14ac:dyDescent="0.3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  <c r="L1945" t="str">
        <f>VLOOKUP(D1945,Products!$A:$F,3,FALSE)</f>
        <v>Beauty</v>
      </c>
      <c r="M1945" t="b">
        <f>VLOOKUP(D1945,Products!$A:$F,6,FALSE)</f>
        <v>1</v>
      </c>
      <c r="N1945">
        <f>VLOOKUP(D1945,Products!$A:$F,4,FALSE)</f>
        <v>1222</v>
      </c>
      <c r="O1945" t="str">
        <f>VLOOKUP(C1945,Customers!$A:$F,5,FALSE)</f>
        <v>Retail</v>
      </c>
      <c r="P1945">
        <f>VLOOKUP(C1945,Customers!$A:$F,3,FALSE)</f>
        <v>65</v>
      </c>
      <c r="Q1945" t="str">
        <f>VLOOKUP(E1945,Sales_Reps!$A:$E,3,FALSE)</f>
        <v>West</v>
      </c>
      <c r="R1945" t="str">
        <f>VLOOKUP(E1945,Sales_Reps!$A:$E,2,FALSE)</f>
        <v>Rekha Chopra</v>
      </c>
      <c r="S1945">
        <f t="shared" si="30"/>
        <v>0.2593939393939394</v>
      </c>
    </row>
    <row r="1946" spans="1:19" x14ac:dyDescent="0.3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  <c r="L1946" t="str">
        <f>VLOOKUP(D1946,Products!$A:$F,3,FALSE)</f>
        <v>Apparel</v>
      </c>
      <c r="M1946" t="b">
        <f>VLOOKUP(D1946,Products!$A:$F,6,FALSE)</f>
        <v>1</v>
      </c>
      <c r="N1946">
        <f>VLOOKUP(D1946,Products!$A:$F,4,FALSE)</f>
        <v>2509</v>
      </c>
      <c r="O1946" t="str">
        <f>VLOOKUP(C1946,Customers!$A:$F,5,FALSE)</f>
        <v>SMB</v>
      </c>
      <c r="P1946">
        <f>VLOOKUP(C1946,Customers!$A:$F,3,FALSE)</f>
        <v>29</v>
      </c>
      <c r="Q1946" t="str">
        <f>VLOOKUP(E1946,Sales_Reps!$A:$E,3,FALSE)</f>
        <v>South</v>
      </c>
      <c r="R1946" t="str">
        <f>VLOOKUP(E1946,Sales_Reps!$A:$E,2,FALSE)</f>
        <v>Manoj Patel</v>
      </c>
      <c r="S1946">
        <f t="shared" si="30"/>
        <v>0.3069060773480663</v>
      </c>
    </row>
    <row r="1947" spans="1:19" x14ac:dyDescent="0.3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  <c r="L1947" t="str">
        <f>VLOOKUP(D1947,Products!$A:$F,3,FALSE)</f>
        <v>Electronics</v>
      </c>
      <c r="M1947" t="b">
        <f>VLOOKUP(D1947,Products!$A:$F,6,FALSE)</f>
        <v>1</v>
      </c>
      <c r="N1947">
        <f>VLOOKUP(D1947,Products!$A:$F,4,FALSE)</f>
        <v>128</v>
      </c>
      <c r="O1947" t="str">
        <f>VLOOKUP(C1947,Customers!$A:$F,5,FALSE)</f>
        <v>Retail</v>
      </c>
      <c r="P1947">
        <f>VLOOKUP(C1947,Customers!$A:$F,3,FALSE)</f>
        <v>52</v>
      </c>
      <c r="Q1947" t="str">
        <f>VLOOKUP(E1947,Sales_Reps!$A:$E,3,FALSE)</f>
        <v>South</v>
      </c>
      <c r="R1947" t="str">
        <f>VLOOKUP(E1947,Sales_Reps!$A:$E,2,FALSE)</f>
        <v>Pooja Nair</v>
      </c>
      <c r="S1947">
        <f t="shared" si="30"/>
        <v>0.57333333333333336</v>
      </c>
    </row>
    <row r="1948" spans="1:19" x14ac:dyDescent="0.3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  <c r="L1948" t="str">
        <f>VLOOKUP(D1948,Products!$A:$F,3,FALSE)</f>
        <v>Beauty</v>
      </c>
      <c r="M1948" t="b">
        <f>VLOOKUP(D1948,Products!$A:$F,6,FALSE)</f>
        <v>0</v>
      </c>
      <c r="N1948">
        <f>VLOOKUP(D1948,Products!$A:$F,4,FALSE)</f>
        <v>647</v>
      </c>
      <c r="O1948" t="str">
        <f>VLOOKUP(C1948,Customers!$A:$F,5,FALSE)</f>
        <v>SMB</v>
      </c>
      <c r="P1948">
        <f>VLOOKUP(C1948,Customers!$A:$F,3,FALSE)</f>
        <v>55</v>
      </c>
      <c r="Q1948" t="str">
        <f>VLOOKUP(E1948,Sales_Reps!$A:$E,3,FALSE)</f>
        <v>North</v>
      </c>
      <c r="R1948" t="str">
        <f>VLOOKUP(E1948,Sales_Reps!$A:$E,2,FALSE)</f>
        <v>Rajesh Malhotra</v>
      </c>
      <c r="S1948">
        <f t="shared" si="30"/>
        <v>0.57987012987012987</v>
      </c>
    </row>
    <row r="1949" spans="1:19" x14ac:dyDescent="0.3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  <c r="L1949" t="str">
        <f>VLOOKUP(D1949,Products!$A:$F,3,FALSE)</f>
        <v>Grocery</v>
      </c>
      <c r="M1949" t="b">
        <f>VLOOKUP(D1949,Products!$A:$F,6,FALSE)</f>
        <v>1</v>
      </c>
      <c r="N1949">
        <f>VLOOKUP(D1949,Products!$A:$F,4,FALSE)</f>
        <v>1203</v>
      </c>
      <c r="O1949" t="str">
        <f>VLOOKUP(C1949,Customers!$A:$F,5,FALSE)</f>
        <v>Retail</v>
      </c>
      <c r="P1949">
        <f>VLOOKUP(C1949,Customers!$A:$F,3,FALSE)</f>
        <v>27</v>
      </c>
      <c r="Q1949" t="str">
        <f>VLOOKUP(E1949,Sales_Reps!$A:$E,3,FALSE)</f>
        <v>East</v>
      </c>
      <c r="R1949" t="str">
        <f>VLOOKUP(E1949,Sales_Reps!$A:$E,2,FALSE)</f>
        <v>Prakash Shah</v>
      </c>
      <c r="S1949">
        <f t="shared" si="30"/>
        <v>0.47004405286343615</v>
      </c>
    </row>
    <row r="1950" spans="1:19" x14ac:dyDescent="0.3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  <c r="L1950" t="str">
        <f>VLOOKUP(D1950,Products!$A:$F,3,FALSE)</f>
        <v>Electronics</v>
      </c>
      <c r="M1950" t="b">
        <f>VLOOKUP(D1950,Products!$A:$F,6,FALSE)</f>
        <v>1</v>
      </c>
      <c r="N1950">
        <f>VLOOKUP(D1950,Products!$A:$F,4,FALSE)</f>
        <v>1149</v>
      </c>
      <c r="O1950" t="str">
        <f>VLOOKUP(C1950,Customers!$A:$F,5,FALSE)</f>
        <v>SMB</v>
      </c>
      <c r="P1950">
        <f>VLOOKUP(C1950,Customers!$A:$F,3,FALSE)</f>
        <v>59</v>
      </c>
      <c r="Q1950" t="str">
        <f>VLOOKUP(E1950,Sales_Reps!$A:$E,3,FALSE)</f>
        <v>North</v>
      </c>
      <c r="R1950" t="str">
        <f>VLOOKUP(E1950,Sales_Reps!$A:$E,2,FALSE)</f>
        <v>Kavita Patel</v>
      </c>
      <c r="S1950">
        <f t="shared" si="30"/>
        <v>0.56477272727272732</v>
      </c>
    </row>
    <row r="1951" spans="1:19" x14ac:dyDescent="0.3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  <c r="L1951" t="str">
        <f>VLOOKUP(D1951,Products!$A:$F,3,FALSE)</f>
        <v>Electronics</v>
      </c>
      <c r="M1951" t="b">
        <f>VLOOKUP(D1951,Products!$A:$F,6,FALSE)</f>
        <v>1</v>
      </c>
      <c r="N1951">
        <f>VLOOKUP(D1951,Products!$A:$F,4,FALSE)</f>
        <v>1149</v>
      </c>
      <c r="O1951" t="str">
        <f>VLOOKUP(C1951,Customers!$A:$F,5,FALSE)</f>
        <v>Retail</v>
      </c>
      <c r="P1951">
        <f>VLOOKUP(C1951,Customers!$A:$F,3,FALSE)</f>
        <v>44</v>
      </c>
      <c r="Q1951" t="str">
        <f>VLOOKUP(E1951,Sales_Reps!$A:$E,3,FALSE)</f>
        <v>South</v>
      </c>
      <c r="R1951" t="str">
        <f>VLOOKUP(E1951,Sales_Reps!$A:$E,2,FALSE)</f>
        <v>Deepak Shah</v>
      </c>
      <c r="S1951">
        <f t="shared" si="30"/>
        <v>0.56477272727272732</v>
      </c>
    </row>
    <row r="1952" spans="1:19" x14ac:dyDescent="0.3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  <c r="L1952" t="str">
        <f>VLOOKUP(D1952,Products!$A:$F,3,FALSE)</f>
        <v>Electronics</v>
      </c>
      <c r="M1952" t="b">
        <f>VLOOKUP(D1952,Products!$A:$F,6,FALSE)</f>
        <v>1</v>
      </c>
      <c r="N1952">
        <f>VLOOKUP(D1952,Products!$A:$F,4,FALSE)</f>
        <v>861</v>
      </c>
      <c r="O1952" t="str">
        <f>VLOOKUP(C1952,Customers!$A:$F,5,FALSE)</f>
        <v>Retail</v>
      </c>
      <c r="P1952">
        <f>VLOOKUP(C1952,Customers!$A:$F,3,FALSE)</f>
        <v>53</v>
      </c>
      <c r="Q1952" t="str">
        <f>VLOOKUP(E1952,Sales_Reps!$A:$E,3,FALSE)</f>
        <v>West</v>
      </c>
      <c r="R1952" t="str">
        <f>VLOOKUP(E1952,Sales_Reps!$A:$E,2,FALSE)</f>
        <v>Kiran Bhatt</v>
      </c>
      <c r="S1952">
        <f t="shared" si="30"/>
        <v>0.39790209790209791</v>
      </c>
    </row>
    <row r="1953" spans="1:19" x14ac:dyDescent="0.3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  <c r="L1953" t="str">
        <f>VLOOKUP(D1953,Products!$A:$F,3,FALSE)</f>
        <v>Electronics</v>
      </c>
      <c r="M1953" t="b">
        <f>VLOOKUP(D1953,Products!$A:$F,6,FALSE)</f>
        <v>1</v>
      </c>
      <c r="N1953">
        <f>VLOOKUP(D1953,Products!$A:$F,4,FALSE)</f>
        <v>1665</v>
      </c>
      <c r="O1953" t="str">
        <f>VLOOKUP(C1953,Customers!$A:$F,5,FALSE)</f>
        <v>SMB</v>
      </c>
      <c r="P1953">
        <f>VLOOKUP(C1953,Customers!$A:$F,3,FALSE)</f>
        <v>30</v>
      </c>
      <c r="Q1953" t="str">
        <f>VLOOKUP(E1953,Sales_Reps!$A:$E,3,FALSE)</f>
        <v>East</v>
      </c>
      <c r="R1953" t="str">
        <f>VLOOKUP(E1953,Sales_Reps!$A:$E,2,FALSE)</f>
        <v>Meera Iyer</v>
      </c>
      <c r="S1953">
        <f t="shared" si="30"/>
        <v>0.53361344537815125</v>
      </c>
    </row>
    <row r="1954" spans="1:19" x14ac:dyDescent="0.3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  <c r="L1954" t="str">
        <f>VLOOKUP(D1954,Products!$A:$F,3,FALSE)</f>
        <v>Electronics</v>
      </c>
      <c r="M1954" t="b">
        <f>VLOOKUP(D1954,Products!$A:$F,6,FALSE)</f>
        <v>1</v>
      </c>
      <c r="N1954">
        <f>VLOOKUP(D1954,Products!$A:$F,4,FALSE)</f>
        <v>1665</v>
      </c>
      <c r="O1954" t="str">
        <f>VLOOKUP(C1954,Customers!$A:$F,5,FALSE)</f>
        <v>Retail</v>
      </c>
      <c r="P1954">
        <f>VLOOKUP(C1954,Customers!$A:$F,3,FALSE)</f>
        <v>30</v>
      </c>
      <c r="Q1954" t="str">
        <f>VLOOKUP(E1954,Sales_Reps!$A:$E,3,FALSE)</f>
        <v>West</v>
      </c>
      <c r="R1954" t="str">
        <f>VLOOKUP(E1954,Sales_Reps!$A:$E,2,FALSE)</f>
        <v>Rekha Chopra</v>
      </c>
      <c r="S1954">
        <f t="shared" si="30"/>
        <v>0.53361344537815125</v>
      </c>
    </row>
    <row r="1955" spans="1:19" x14ac:dyDescent="0.3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  <c r="L1955" t="str">
        <f>VLOOKUP(D1955,Products!$A:$F,3,FALSE)</f>
        <v>Electronics</v>
      </c>
      <c r="M1955" t="b">
        <f>VLOOKUP(D1955,Products!$A:$F,6,FALSE)</f>
        <v>1</v>
      </c>
      <c r="N1955">
        <f>VLOOKUP(D1955,Products!$A:$F,4,FALSE)</f>
        <v>1559</v>
      </c>
      <c r="O1955" t="str">
        <f>VLOOKUP(C1955,Customers!$A:$F,5,FALSE)</f>
        <v>SMB</v>
      </c>
      <c r="P1955">
        <f>VLOOKUP(C1955,Customers!$A:$F,3,FALSE)</f>
        <v>43</v>
      </c>
      <c r="Q1955" t="str">
        <f>VLOOKUP(E1955,Sales_Reps!$A:$E,3,FALSE)</f>
        <v>West</v>
      </c>
      <c r="R1955" t="str">
        <f>VLOOKUP(E1955,Sales_Reps!$A:$E,2,FALSE)</f>
        <v>Kiran Bhatt</v>
      </c>
      <c r="S1955">
        <f t="shared" si="30"/>
        <v>0.59715762273901807</v>
      </c>
    </row>
    <row r="1956" spans="1:19" x14ac:dyDescent="0.3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  <c r="L1956" t="str">
        <f>VLOOKUP(D1956,Products!$A:$F,3,FALSE)</f>
        <v>Sports</v>
      </c>
      <c r="M1956" t="b">
        <f>VLOOKUP(D1956,Products!$A:$F,6,FALSE)</f>
        <v>1</v>
      </c>
      <c r="N1956">
        <f>VLOOKUP(D1956,Products!$A:$F,4,FALSE)</f>
        <v>2827</v>
      </c>
      <c r="O1956" t="str">
        <f>VLOOKUP(C1956,Customers!$A:$F,5,FALSE)</f>
        <v>SMB</v>
      </c>
      <c r="P1956">
        <f>VLOOKUP(C1956,Customers!$A:$F,3,FALSE)</f>
        <v>26</v>
      </c>
      <c r="Q1956" t="str">
        <f>VLOOKUP(E1956,Sales_Reps!$A:$E,3,FALSE)</f>
        <v>South</v>
      </c>
      <c r="R1956" t="str">
        <f>VLOOKUP(E1956,Sales_Reps!$A:$E,2,FALSE)</f>
        <v>Ritu Menon</v>
      </c>
      <c r="S1956">
        <f t="shared" si="30"/>
        <v>0.5926512968299712</v>
      </c>
    </row>
    <row r="1957" spans="1:19" x14ac:dyDescent="0.3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  <c r="L1957" t="str">
        <f>VLOOKUP(D1957,Products!$A:$F,3,FALSE)</f>
        <v>Home</v>
      </c>
      <c r="M1957" t="b">
        <f>VLOOKUP(D1957,Products!$A:$F,6,FALSE)</f>
        <v>1</v>
      </c>
      <c r="N1957">
        <f>VLOOKUP(D1957,Products!$A:$F,4,FALSE)</f>
        <v>288</v>
      </c>
      <c r="O1957" t="str">
        <f>VLOOKUP(C1957,Customers!$A:$F,5,FALSE)</f>
        <v>Retail</v>
      </c>
      <c r="P1957">
        <f>VLOOKUP(C1957,Customers!$A:$F,3,FALSE)</f>
        <v>53</v>
      </c>
      <c r="Q1957" t="str">
        <f>VLOOKUP(E1957,Sales_Reps!$A:$E,3,FALSE)</f>
        <v>West</v>
      </c>
      <c r="R1957" t="str">
        <f>VLOOKUP(E1957,Sales_Reps!$A:$E,2,FALSE)</f>
        <v>Sonia Malhotra</v>
      </c>
      <c r="S1957">
        <f t="shared" si="30"/>
        <v>0.22162162162162163</v>
      </c>
    </row>
    <row r="1958" spans="1:19" x14ac:dyDescent="0.3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  <c r="L1958" t="str">
        <f>VLOOKUP(D1958,Products!$A:$F,3,FALSE)</f>
        <v>Apparel</v>
      </c>
      <c r="M1958" t="b">
        <f>VLOOKUP(D1958,Products!$A:$F,6,FALSE)</f>
        <v>1</v>
      </c>
      <c r="N1958">
        <f>VLOOKUP(D1958,Products!$A:$F,4,FALSE)</f>
        <v>2629</v>
      </c>
      <c r="O1958" t="str">
        <f>VLOOKUP(C1958,Customers!$A:$F,5,FALSE)</f>
        <v>Corporate</v>
      </c>
      <c r="P1958">
        <f>VLOOKUP(C1958,Customers!$A:$F,3,FALSE)</f>
        <v>55</v>
      </c>
      <c r="Q1958" t="str">
        <f>VLOOKUP(E1958,Sales_Reps!$A:$E,3,FALSE)</f>
        <v>West</v>
      </c>
      <c r="R1958" t="str">
        <f>VLOOKUP(E1958,Sales_Reps!$A:$E,2,FALSE)</f>
        <v>Ramesh Bhatt</v>
      </c>
      <c r="S1958">
        <f t="shared" si="30"/>
        <v>0.26151685393258428</v>
      </c>
    </row>
    <row r="1959" spans="1:19" x14ac:dyDescent="0.3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  <c r="L1959" t="str">
        <f>VLOOKUP(D1959,Products!$A:$F,3,FALSE)</f>
        <v>Electronics</v>
      </c>
      <c r="M1959" t="b">
        <f>VLOOKUP(D1959,Products!$A:$F,6,FALSE)</f>
        <v>1</v>
      </c>
      <c r="N1959">
        <f>VLOOKUP(D1959,Products!$A:$F,4,FALSE)</f>
        <v>517</v>
      </c>
      <c r="O1959" t="str">
        <f>VLOOKUP(C1959,Customers!$A:$F,5,FALSE)</f>
        <v>Retail</v>
      </c>
      <c r="P1959">
        <f>VLOOKUP(C1959,Customers!$A:$F,3,FALSE)</f>
        <v>44</v>
      </c>
      <c r="Q1959" t="str">
        <f>VLOOKUP(E1959,Sales_Reps!$A:$E,3,FALSE)</f>
        <v>West</v>
      </c>
      <c r="R1959" t="str">
        <f>VLOOKUP(E1959,Sales_Reps!$A:$E,2,FALSE)</f>
        <v>Preeti Shah</v>
      </c>
      <c r="S1959">
        <f t="shared" si="30"/>
        <v>0.57622950819672136</v>
      </c>
    </row>
    <row r="1960" spans="1:19" x14ac:dyDescent="0.3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  <c r="L1960" t="str">
        <f>VLOOKUP(D1960,Products!$A:$F,3,FALSE)</f>
        <v>Grocery</v>
      </c>
      <c r="M1960" t="b">
        <f>VLOOKUP(D1960,Products!$A:$F,6,FALSE)</f>
        <v>1</v>
      </c>
      <c r="N1960">
        <f>VLOOKUP(D1960,Products!$A:$F,4,FALSE)</f>
        <v>2027</v>
      </c>
      <c r="O1960" t="str">
        <f>VLOOKUP(C1960,Customers!$A:$F,5,FALSE)</f>
        <v>Retail</v>
      </c>
      <c r="P1960">
        <f>VLOOKUP(C1960,Customers!$A:$F,3,FALSE)</f>
        <v>24</v>
      </c>
      <c r="Q1960" t="str">
        <f>VLOOKUP(E1960,Sales_Reps!$A:$E,3,FALSE)</f>
        <v>East</v>
      </c>
      <c r="R1960" t="str">
        <f>VLOOKUP(E1960,Sales_Reps!$A:$E,2,FALSE)</f>
        <v>Meera Iyer</v>
      </c>
      <c r="S1960">
        <f t="shared" si="30"/>
        <v>0.50196560196560192</v>
      </c>
    </row>
    <row r="1961" spans="1:19" x14ac:dyDescent="0.3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  <c r="L1961" t="str">
        <f>VLOOKUP(D1961,Products!$A:$F,3,FALSE)</f>
        <v>Grocery</v>
      </c>
      <c r="M1961" t="b">
        <f>VLOOKUP(D1961,Products!$A:$F,6,FALSE)</f>
        <v>0</v>
      </c>
      <c r="N1961">
        <f>VLOOKUP(D1961,Products!$A:$F,4,FALSE)</f>
        <v>2214</v>
      </c>
      <c r="O1961" t="str">
        <f>VLOOKUP(C1961,Customers!$A:$F,5,FALSE)</f>
        <v>Retail</v>
      </c>
      <c r="P1961">
        <f>VLOOKUP(C1961,Customers!$A:$F,3,FALSE)</f>
        <v>63</v>
      </c>
      <c r="Q1961" t="str">
        <f>VLOOKUP(E1961,Sales_Reps!$A:$E,3,FALSE)</f>
        <v>East</v>
      </c>
      <c r="R1961" t="str">
        <f>VLOOKUP(E1961,Sales_Reps!$A:$E,2,FALSE)</f>
        <v>Prakash Shah</v>
      </c>
      <c r="S1961">
        <f t="shared" si="30"/>
        <v>0.39508196721311473</v>
      </c>
    </row>
    <row r="1962" spans="1:19" x14ac:dyDescent="0.3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  <c r="L1962" t="str">
        <f>VLOOKUP(D1962,Products!$A:$F,3,FALSE)</f>
        <v>Home</v>
      </c>
      <c r="M1962" t="b">
        <f>VLOOKUP(D1962,Products!$A:$F,6,FALSE)</f>
        <v>1</v>
      </c>
      <c r="N1962">
        <f>VLOOKUP(D1962,Products!$A:$F,4,FALSE)</f>
        <v>2459</v>
      </c>
      <c r="O1962" t="str">
        <f>VLOOKUP(C1962,Customers!$A:$F,5,FALSE)</f>
        <v>Retail</v>
      </c>
      <c r="P1962">
        <f>VLOOKUP(C1962,Customers!$A:$F,3,FALSE)</f>
        <v>53</v>
      </c>
      <c r="Q1962" t="str">
        <f>VLOOKUP(E1962,Sales_Reps!$A:$E,3,FALSE)</f>
        <v>East</v>
      </c>
      <c r="R1962" t="str">
        <f>VLOOKUP(E1962,Sales_Reps!$A:$E,2,FALSE)</f>
        <v>Shalini Patel</v>
      </c>
      <c r="S1962">
        <f t="shared" si="30"/>
        <v>0.51594488188976373</v>
      </c>
    </row>
    <row r="1963" spans="1:19" x14ac:dyDescent="0.3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  <c r="L1963" t="str">
        <f>VLOOKUP(D1963,Products!$A:$F,3,FALSE)</f>
        <v>Home</v>
      </c>
      <c r="M1963" t="b">
        <f>VLOOKUP(D1963,Products!$A:$F,6,FALSE)</f>
        <v>1</v>
      </c>
      <c r="N1963">
        <f>VLOOKUP(D1963,Products!$A:$F,4,FALSE)</f>
        <v>1850</v>
      </c>
      <c r="O1963" t="str">
        <f>VLOOKUP(C1963,Customers!$A:$F,5,FALSE)</f>
        <v>Retail</v>
      </c>
      <c r="P1963">
        <f>VLOOKUP(C1963,Customers!$A:$F,3,FALSE)</f>
        <v>63</v>
      </c>
      <c r="Q1963" t="str">
        <f>VLOOKUP(E1963,Sales_Reps!$A:$E,3,FALSE)</f>
        <v>South</v>
      </c>
      <c r="R1963" t="str">
        <f>VLOOKUP(E1963,Sales_Reps!$A:$E,2,FALSE)</f>
        <v>Sanjay Kapoor</v>
      </c>
      <c r="S1963">
        <f t="shared" si="30"/>
        <v>0.59869848156182215</v>
      </c>
    </row>
    <row r="1964" spans="1:19" x14ac:dyDescent="0.3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  <c r="L1964" t="str">
        <f>VLOOKUP(D1964,Products!$A:$F,3,FALSE)</f>
        <v>Electronics</v>
      </c>
      <c r="M1964" t="b">
        <f>VLOOKUP(D1964,Products!$A:$F,6,FALSE)</f>
        <v>0</v>
      </c>
      <c r="N1964">
        <f>VLOOKUP(D1964,Products!$A:$F,4,FALSE)</f>
        <v>1259</v>
      </c>
      <c r="O1964" t="str">
        <f>VLOOKUP(C1964,Customers!$A:$F,5,FALSE)</f>
        <v>Retail</v>
      </c>
      <c r="P1964">
        <f>VLOOKUP(C1964,Customers!$A:$F,3,FALSE)</f>
        <v>27</v>
      </c>
      <c r="Q1964" t="str">
        <f>VLOOKUP(E1964,Sales_Reps!$A:$E,3,FALSE)</f>
        <v>North</v>
      </c>
      <c r="R1964" t="str">
        <f>VLOOKUP(E1964,Sales_Reps!$A:$E,2,FALSE)</f>
        <v>Suresh Menon</v>
      </c>
      <c r="S1964">
        <f t="shared" si="30"/>
        <v>0.52669172932330832</v>
      </c>
    </row>
    <row r="1965" spans="1:19" x14ac:dyDescent="0.3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  <c r="L1965" t="str">
        <f>VLOOKUP(D1965,Products!$A:$F,3,FALSE)</f>
        <v>Apparel</v>
      </c>
      <c r="M1965" t="b">
        <f>VLOOKUP(D1965,Products!$A:$F,6,FALSE)</f>
        <v>1</v>
      </c>
      <c r="N1965">
        <f>VLOOKUP(D1965,Products!$A:$F,4,FALSE)</f>
        <v>1886</v>
      </c>
      <c r="O1965" t="str">
        <f>VLOOKUP(C1965,Customers!$A:$F,5,FALSE)</f>
        <v>SMB</v>
      </c>
      <c r="P1965">
        <f>VLOOKUP(C1965,Customers!$A:$F,3,FALSE)</f>
        <v>48</v>
      </c>
      <c r="Q1965" t="str">
        <f>VLOOKUP(E1965,Sales_Reps!$A:$E,3,FALSE)</f>
        <v>North</v>
      </c>
      <c r="R1965" t="str">
        <f>VLOOKUP(E1965,Sales_Reps!$A:$E,2,FALSE)</f>
        <v>Neha Desai</v>
      </c>
      <c r="S1965">
        <f t="shared" si="30"/>
        <v>0.4031645569620253</v>
      </c>
    </row>
    <row r="1966" spans="1:19" x14ac:dyDescent="0.3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  <c r="L1966" t="str">
        <f>VLOOKUP(D1966,Products!$A:$F,3,FALSE)</f>
        <v>Home</v>
      </c>
      <c r="M1966" t="b">
        <f>VLOOKUP(D1966,Products!$A:$F,6,FALSE)</f>
        <v>1</v>
      </c>
      <c r="N1966">
        <f>VLOOKUP(D1966,Products!$A:$F,4,FALSE)</f>
        <v>288</v>
      </c>
      <c r="O1966" t="str">
        <f>VLOOKUP(C1966,Customers!$A:$F,5,FALSE)</f>
        <v>Retail</v>
      </c>
      <c r="P1966">
        <f>VLOOKUP(C1966,Customers!$A:$F,3,FALSE)</f>
        <v>41</v>
      </c>
      <c r="Q1966" t="str">
        <f>VLOOKUP(E1966,Sales_Reps!$A:$E,3,FALSE)</f>
        <v>North</v>
      </c>
      <c r="R1966" t="str">
        <f>VLOOKUP(E1966,Sales_Reps!$A:$E,2,FALSE)</f>
        <v>Priya Singh</v>
      </c>
      <c r="S1966">
        <f t="shared" si="30"/>
        <v>0.22162162162162163</v>
      </c>
    </row>
    <row r="1967" spans="1:19" x14ac:dyDescent="0.3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  <c r="L1967" t="str">
        <f>VLOOKUP(D1967,Products!$A:$F,3,FALSE)</f>
        <v>Sports</v>
      </c>
      <c r="M1967" t="b">
        <f>VLOOKUP(D1967,Products!$A:$F,6,FALSE)</f>
        <v>1</v>
      </c>
      <c r="N1967">
        <f>VLOOKUP(D1967,Products!$A:$F,4,FALSE)</f>
        <v>516</v>
      </c>
      <c r="O1967" t="str">
        <f>VLOOKUP(C1967,Customers!$A:$F,5,FALSE)</f>
        <v>Retail</v>
      </c>
      <c r="P1967">
        <f>VLOOKUP(C1967,Customers!$A:$F,3,FALSE)</f>
        <v>54</v>
      </c>
      <c r="Q1967" t="str">
        <f>VLOOKUP(E1967,Sales_Reps!$A:$E,3,FALSE)</f>
        <v>North</v>
      </c>
      <c r="R1967" t="str">
        <f>VLOOKUP(E1967,Sales_Reps!$A:$E,2,FALSE)</f>
        <v>Kavita Patel</v>
      </c>
      <c r="S1967">
        <f t="shared" si="30"/>
        <v>0.4891089108910891</v>
      </c>
    </row>
    <row r="1968" spans="1:19" x14ac:dyDescent="0.3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  <c r="L1968" t="str">
        <f>VLOOKUP(D1968,Products!$A:$F,3,FALSE)</f>
        <v>Apparel</v>
      </c>
      <c r="M1968" t="b">
        <f>VLOOKUP(D1968,Products!$A:$F,6,FALSE)</f>
        <v>1</v>
      </c>
      <c r="N1968">
        <f>VLOOKUP(D1968,Products!$A:$F,4,FALSE)</f>
        <v>2629</v>
      </c>
      <c r="O1968" t="str">
        <f>VLOOKUP(C1968,Customers!$A:$F,5,FALSE)</f>
        <v>SMB</v>
      </c>
      <c r="P1968">
        <f>VLOOKUP(C1968,Customers!$A:$F,3,FALSE)</f>
        <v>65</v>
      </c>
      <c r="Q1968" t="str">
        <f>VLOOKUP(E1968,Sales_Reps!$A:$E,3,FALSE)</f>
        <v>West</v>
      </c>
      <c r="R1968" t="str">
        <f>VLOOKUP(E1968,Sales_Reps!$A:$E,2,FALSE)</f>
        <v>Kiran Bhatt</v>
      </c>
      <c r="S1968">
        <f t="shared" si="30"/>
        <v>0.26151685393258428</v>
      </c>
    </row>
    <row r="1969" spans="1:19" x14ac:dyDescent="0.3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  <c r="L1969" t="str">
        <f>VLOOKUP(D1969,Products!$A:$F,3,FALSE)</f>
        <v>Electronics</v>
      </c>
      <c r="M1969" t="b">
        <f>VLOOKUP(D1969,Products!$A:$F,6,FALSE)</f>
        <v>1</v>
      </c>
      <c r="N1969">
        <f>VLOOKUP(D1969,Products!$A:$F,4,FALSE)</f>
        <v>517</v>
      </c>
      <c r="O1969" t="str">
        <f>VLOOKUP(C1969,Customers!$A:$F,5,FALSE)</f>
        <v>Retail</v>
      </c>
      <c r="P1969">
        <f>VLOOKUP(C1969,Customers!$A:$F,3,FALSE)</f>
        <v>28</v>
      </c>
      <c r="Q1969" t="str">
        <f>VLOOKUP(E1969,Sales_Reps!$A:$E,3,FALSE)</f>
        <v>West</v>
      </c>
      <c r="R1969" t="str">
        <f>VLOOKUP(E1969,Sales_Reps!$A:$E,2,FALSE)</f>
        <v>Preeti Shah</v>
      </c>
      <c r="S1969">
        <f t="shared" si="30"/>
        <v>0.57622950819672136</v>
      </c>
    </row>
    <row r="1970" spans="1:19" x14ac:dyDescent="0.3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  <c r="L1970" t="str">
        <f>VLOOKUP(D1970,Products!$A:$F,3,FALSE)</f>
        <v>Sports</v>
      </c>
      <c r="M1970" t="b">
        <f>VLOOKUP(D1970,Products!$A:$F,6,FALSE)</f>
        <v>1</v>
      </c>
      <c r="N1970">
        <f>VLOOKUP(D1970,Products!$A:$F,4,FALSE)</f>
        <v>147</v>
      </c>
      <c r="O1970" t="str">
        <f>VLOOKUP(C1970,Customers!$A:$F,5,FALSE)</f>
        <v>Retail</v>
      </c>
      <c r="P1970">
        <f>VLOOKUP(C1970,Customers!$A:$F,3,FALSE)</f>
        <v>42</v>
      </c>
      <c r="Q1970" t="str">
        <f>VLOOKUP(E1970,Sales_Reps!$A:$E,3,FALSE)</f>
        <v>North</v>
      </c>
      <c r="R1970" t="str">
        <f>VLOOKUP(E1970,Sales_Reps!$A:$E,2,FALSE)</f>
        <v>Kavita Patel</v>
      </c>
      <c r="S1970">
        <f t="shared" si="30"/>
        <v>0.22631578947368422</v>
      </c>
    </row>
    <row r="1971" spans="1:19" x14ac:dyDescent="0.3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  <c r="L1971" t="str">
        <f>VLOOKUP(D1971,Products!$A:$F,3,FALSE)</f>
        <v>Sports</v>
      </c>
      <c r="M1971" t="b">
        <f>VLOOKUP(D1971,Products!$A:$F,6,FALSE)</f>
        <v>1</v>
      </c>
      <c r="N1971">
        <f>VLOOKUP(D1971,Products!$A:$F,4,FALSE)</f>
        <v>516</v>
      </c>
      <c r="O1971" t="str">
        <f>VLOOKUP(C1971,Customers!$A:$F,5,FALSE)</f>
        <v>Corporate</v>
      </c>
      <c r="P1971">
        <f>VLOOKUP(C1971,Customers!$A:$F,3,FALSE)</f>
        <v>24</v>
      </c>
      <c r="Q1971" t="str">
        <f>VLOOKUP(E1971,Sales_Reps!$A:$E,3,FALSE)</f>
        <v>North</v>
      </c>
      <c r="R1971" t="str">
        <f>VLOOKUP(E1971,Sales_Reps!$A:$E,2,FALSE)</f>
        <v>Sunita Malhotra</v>
      </c>
      <c r="S1971">
        <f t="shared" si="30"/>
        <v>0.4891089108910891</v>
      </c>
    </row>
    <row r="1972" spans="1:19" x14ac:dyDescent="0.3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  <c r="L1972" t="str">
        <f>VLOOKUP(D1972,Products!$A:$F,3,FALSE)</f>
        <v>Electronics</v>
      </c>
      <c r="M1972" t="b">
        <f>VLOOKUP(D1972,Products!$A:$F,6,FALSE)</f>
        <v>1</v>
      </c>
      <c r="N1972">
        <f>VLOOKUP(D1972,Products!$A:$F,4,FALSE)</f>
        <v>1052</v>
      </c>
      <c r="O1972" t="str">
        <f>VLOOKUP(C1972,Customers!$A:$F,5,FALSE)</f>
        <v>Retail</v>
      </c>
      <c r="P1972">
        <f>VLOOKUP(C1972,Customers!$A:$F,3,FALSE)</f>
        <v>57</v>
      </c>
      <c r="Q1972" t="str">
        <f>VLOOKUP(E1972,Sales_Reps!$A:$E,3,FALSE)</f>
        <v>South</v>
      </c>
      <c r="R1972" t="str">
        <f>VLOOKUP(E1972,Sales_Reps!$A:$E,2,FALSE)</f>
        <v>Manoj Patel</v>
      </c>
      <c r="S1972">
        <f t="shared" si="30"/>
        <v>0.5953846153846154</v>
      </c>
    </row>
    <row r="1973" spans="1:19" x14ac:dyDescent="0.3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  <c r="L1973" t="str">
        <f>VLOOKUP(D1973,Products!$A:$F,3,FALSE)</f>
        <v>Apparel</v>
      </c>
      <c r="M1973" t="b">
        <f>VLOOKUP(D1973,Products!$A:$F,6,FALSE)</f>
        <v>1</v>
      </c>
      <c r="N1973">
        <f>VLOOKUP(D1973,Products!$A:$F,4,FALSE)</f>
        <v>1748</v>
      </c>
      <c r="O1973" t="str">
        <f>VLOOKUP(C1973,Customers!$A:$F,5,FALSE)</f>
        <v>Retail</v>
      </c>
      <c r="P1973">
        <f>VLOOKUP(C1973,Customers!$A:$F,3,FALSE)</f>
        <v>41</v>
      </c>
      <c r="Q1973" t="str">
        <f>VLOOKUP(E1973,Sales_Reps!$A:$E,3,FALSE)</f>
        <v>West</v>
      </c>
      <c r="R1973" t="str">
        <f>VLOOKUP(E1973,Sales_Reps!$A:$E,2,FALSE)</f>
        <v>Arun Iyer</v>
      </c>
      <c r="S1973">
        <f t="shared" si="30"/>
        <v>0.49333333333333335</v>
      </c>
    </row>
    <row r="1974" spans="1:19" x14ac:dyDescent="0.3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  <c r="L1974" t="str">
        <f>VLOOKUP(D1974,Products!$A:$F,3,FALSE)</f>
        <v>Apparel</v>
      </c>
      <c r="M1974" t="b">
        <f>VLOOKUP(D1974,Products!$A:$F,6,FALSE)</f>
        <v>0</v>
      </c>
      <c r="N1974">
        <f>VLOOKUP(D1974,Products!$A:$F,4,FALSE)</f>
        <v>1075</v>
      </c>
      <c r="O1974" t="str">
        <f>VLOOKUP(C1974,Customers!$A:$F,5,FALSE)</f>
        <v>Corporate</v>
      </c>
      <c r="P1974">
        <f>VLOOKUP(C1974,Customers!$A:$F,3,FALSE)</f>
        <v>52</v>
      </c>
      <c r="Q1974" t="str">
        <f>VLOOKUP(E1974,Sales_Reps!$A:$E,3,FALSE)</f>
        <v>East</v>
      </c>
      <c r="R1974" t="str">
        <f>VLOOKUP(E1974,Sales_Reps!$A:$E,2,FALSE)</f>
        <v>Prakash Shah</v>
      </c>
      <c r="S1974">
        <f t="shared" si="30"/>
        <v>0.57171314741035861</v>
      </c>
    </row>
    <row r="1975" spans="1:19" x14ac:dyDescent="0.3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  <c r="L1975" t="str">
        <f>VLOOKUP(D1975,Products!$A:$F,3,FALSE)</f>
        <v>Sports</v>
      </c>
      <c r="M1975" t="b">
        <f>VLOOKUP(D1975,Products!$A:$F,6,FALSE)</f>
        <v>1</v>
      </c>
      <c r="N1975">
        <f>VLOOKUP(D1975,Products!$A:$F,4,FALSE)</f>
        <v>147</v>
      </c>
      <c r="O1975" t="str">
        <f>VLOOKUP(C1975,Customers!$A:$F,5,FALSE)</f>
        <v>Retail</v>
      </c>
      <c r="P1975">
        <f>VLOOKUP(C1975,Customers!$A:$F,3,FALSE)</f>
        <v>36</v>
      </c>
      <c r="Q1975" t="str">
        <f>VLOOKUP(E1975,Sales_Reps!$A:$E,3,FALSE)</f>
        <v>West</v>
      </c>
      <c r="R1975" t="str">
        <f>VLOOKUP(E1975,Sales_Reps!$A:$E,2,FALSE)</f>
        <v>Ramesh Bhatt</v>
      </c>
      <c r="S1975">
        <f t="shared" si="30"/>
        <v>0.22631578947368422</v>
      </c>
    </row>
    <row r="1976" spans="1:19" x14ac:dyDescent="0.3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  <c r="L1976" t="str">
        <f>VLOOKUP(D1976,Products!$A:$F,3,FALSE)</f>
        <v>Beauty</v>
      </c>
      <c r="M1976" t="b">
        <f>VLOOKUP(D1976,Products!$A:$F,6,FALSE)</f>
        <v>1</v>
      </c>
      <c r="N1976">
        <f>VLOOKUP(D1976,Products!$A:$F,4,FALSE)</f>
        <v>1222</v>
      </c>
      <c r="O1976" t="str">
        <f>VLOOKUP(C1976,Customers!$A:$F,5,FALSE)</f>
        <v>Retail</v>
      </c>
      <c r="P1976">
        <f>VLOOKUP(C1976,Customers!$A:$F,3,FALSE)</f>
        <v>42</v>
      </c>
      <c r="Q1976" t="str">
        <f>VLOOKUP(E1976,Sales_Reps!$A:$E,3,FALSE)</f>
        <v>West</v>
      </c>
      <c r="R1976" t="str">
        <f>VLOOKUP(E1976,Sales_Reps!$A:$E,2,FALSE)</f>
        <v>Arun Iyer</v>
      </c>
      <c r="S1976">
        <f t="shared" si="30"/>
        <v>0.2593939393939394</v>
      </c>
    </row>
    <row r="1977" spans="1:19" x14ac:dyDescent="0.3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  <c r="L1977" t="str">
        <f>VLOOKUP(D1977,Products!$A:$F,3,FALSE)</f>
        <v>Sports</v>
      </c>
      <c r="M1977" t="b">
        <f>VLOOKUP(D1977,Products!$A:$F,6,FALSE)</f>
        <v>1</v>
      </c>
      <c r="N1977">
        <f>VLOOKUP(D1977,Products!$A:$F,4,FALSE)</f>
        <v>2028</v>
      </c>
      <c r="O1977" t="str">
        <f>VLOOKUP(C1977,Customers!$A:$F,5,FALSE)</f>
        <v>Corporate</v>
      </c>
      <c r="P1977">
        <f>VLOOKUP(C1977,Customers!$A:$F,3,FALSE)</f>
        <v>57</v>
      </c>
      <c r="Q1977" t="str">
        <f>VLOOKUP(E1977,Sales_Reps!$A:$E,3,FALSE)</f>
        <v>South</v>
      </c>
      <c r="R1977" t="str">
        <f>VLOOKUP(E1977,Sales_Reps!$A:$E,2,FALSE)</f>
        <v>Manoj Patel</v>
      </c>
      <c r="S1977">
        <f t="shared" si="30"/>
        <v>0.29090909090909089</v>
      </c>
    </row>
    <row r="1978" spans="1:19" x14ac:dyDescent="0.3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  <c r="L1978" t="str">
        <f>VLOOKUP(D1978,Products!$A:$F,3,FALSE)</f>
        <v>Sports</v>
      </c>
      <c r="M1978" t="b">
        <f>VLOOKUP(D1978,Products!$A:$F,6,FALSE)</f>
        <v>0</v>
      </c>
      <c r="N1978">
        <f>VLOOKUP(D1978,Products!$A:$F,4,FALSE)</f>
        <v>302</v>
      </c>
      <c r="O1978" t="str">
        <f>VLOOKUP(C1978,Customers!$A:$F,5,FALSE)</f>
        <v>Retail</v>
      </c>
      <c r="P1978">
        <f>VLOOKUP(C1978,Customers!$A:$F,3,FALSE)</f>
        <v>54</v>
      </c>
      <c r="Q1978" t="str">
        <f>VLOOKUP(E1978,Sales_Reps!$A:$E,3,FALSE)</f>
        <v>West</v>
      </c>
      <c r="R1978" t="str">
        <f>VLOOKUP(E1978,Sales_Reps!$A:$E,2,FALSE)</f>
        <v>Preeti Shah</v>
      </c>
      <c r="S1978">
        <f t="shared" si="30"/>
        <v>0.35744680851063831</v>
      </c>
    </row>
    <row r="1979" spans="1:19" x14ac:dyDescent="0.3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  <c r="L1979" t="str">
        <f>VLOOKUP(D1979,Products!$A:$F,3,FALSE)</f>
        <v>Sports</v>
      </c>
      <c r="M1979" t="b">
        <f>VLOOKUP(D1979,Products!$A:$F,6,FALSE)</f>
        <v>1</v>
      </c>
      <c r="N1979">
        <f>VLOOKUP(D1979,Products!$A:$F,4,FALSE)</f>
        <v>2028</v>
      </c>
      <c r="O1979" t="str">
        <f>VLOOKUP(C1979,Customers!$A:$F,5,FALSE)</f>
        <v>Corporate</v>
      </c>
      <c r="P1979">
        <f>VLOOKUP(C1979,Customers!$A:$F,3,FALSE)</f>
        <v>54</v>
      </c>
      <c r="Q1979" t="str">
        <f>VLOOKUP(E1979,Sales_Reps!$A:$E,3,FALSE)</f>
        <v>West</v>
      </c>
      <c r="R1979" t="str">
        <f>VLOOKUP(E1979,Sales_Reps!$A:$E,2,FALSE)</f>
        <v>Kiran Bhatt</v>
      </c>
      <c r="S1979">
        <f t="shared" si="30"/>
        <v>0.29090909090909089</v>
      </c>
    </row>
    <row r="1980" spans="1:19" x14ac:dyDescent="0.3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  <c r="L1980" t="str">
        <f>VLOOKUP(D1980,Products!$A:$F,3,FALSE)</f>
        <v>Apparel</v>
      </c>
      <c r="M1980" t="b">
        <f>VLOOKUP(D1980,Products!$A:$F,6,FALSE)</f>
        <v>1</v>
      </c>
      <c r="N1980">
        <f>VLOOKUP(D1980,Products!$A:$F,4,FALSE)</f>
        <v>1173</v>
      </c>
      <c r="O1980" t="str">
        <f>VLOOKUP(C1980,Customers!$A:$F,5,FALSE)</f>
        <v>Retail</v>
      </c>
      <c r="P1980">
        <f>VLOOKUP(C1980,Customers!$A:$F,3,FALSE)</f>
        <v>38</v>
      </c>
      <c r="Q1980" t="str">
        <f>VLOOKUP(E1980,Sales_Reps!$A:$E,3,FALSE)</f>
        <v>East</v>
      </c>
      <c r="R1980" t="str">
        <f>VLOOKUP(E1980,Sales_Reps!$A:$E,2,FALSE)</f>
        <v>Shalini Patel</v>
      </c>
      <c r="S1980">
        <f t="shared" si="30"/>
        <v>0.52701612903225803</v>
      </c>
    </row>
    <row r="1981" spans="1:19" x14ac:dyDescent="0.3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  <c r="L1981" t="str">
        <f>VLOOKUP(D1981,Products!$A:$F,3,FALSE)</f>
        <v>Home</v>
      </c>
      <c r="M1981" t="b">
        <f>VLOOKUP(D1981,Products!$A:$F,6,FALSE)</f>
        <v>1</v>
      </c>
      <c r="N1981">
        <f>VLOOKUP(D1981,Products!$A:$F,4,FALSE)</f>
        <v>1143</v>
      </c>
      <c r="O1981" t="str">
        <f>VLOOKUP(C1981,Customers!$A:$F,5,FALSE)</f>
        <v>SMB</v>
      </c>
      <c r="P1981">
        <f>VLOOKUP(C1981,Customers!$A:$F,3,FALSE)</f>
        <v>44</v>
      </c>
      <c r="Q1981" t="str">
        <f>VLOOKUP(E1981,Sales_Reps!$A:$E,3,FALSE)</f>
        <v>North</v>
      </c>
      <c r="R1981" t="str">
        <f>VLOOKUP(E1981,Sales_Reps!$A:$E,2,FALSE)</f>
        <v>Neha Desai</v>
      </c>
      <c r="S1981">
        <f t="shared" si="30"/>
        <v>0.43694581280788175</v>
      </c>
    </row>
    <row r="1982" spans="1:19" x14ac:dyDescent="0.3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  <c r="L1982" t="str">
        <f>VLOOKUP(D1982,Products!$A:$F,3,FALSE)</f>
        <v>Beauty</v>
      </c>
      <c r="M1982" t="b">
        <f>VLOOKUP(D1982,Products!$A:$F,6,FALSE)</f>
        <v>1</v>
      </c>
      <c r="N1982">
        <f>VLOOKUP(D1982,Products!$A:$F,4,FALSE)</f>
        <v>2420</v>
      </c>
      <c r="O1982" t="str">
        <f>VLOOKUP(C1982,Customers!$A:$F,5,FALSE)</f>
        <v>SMB</v>
      </c>
      <c r="P1982">
        <f>VLOOKUP(C1982,Customers!$A:$F,3,FALSE)</f>
        <v>44</v>
      </c>
      <c r="Q1982" t="str">
        <f>VLOOKUP(E1982,Sales_Reps!$A:$E,3,FALSE)</f>
        <v>South</v>
      </c>
      <c r="R1982" t="str">
        <f>VLOOKUP(E1982,Sales_Reps!$A:$E,2,FALSE)</f>
        <v>Pooja Nair</v>
      </c>
      <c r="S1982">
        <f t="shared" si="30"/>
        <v>0.29855072463768118</v>
      </c>
    </row>
    <row r="1983" spans="1:19" x14ac:dyDescent="0.3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  <c r="L1983" t="str">
        <f>VLOOKUP(D1983,Products!$A:$F,3,FALSE)</f>
        <v>Electronics</v>
      </c>
      <c r="M1983" t="b">
        <f>VLOOKUP(D1983,Products!$A:$F,6,FALSE)</f>
        <v>1</v>
      </c>
      <c r="N1983">
        <f>VLOOKUP(D1983,Products!$A:$F,4,FALSE)</f>
        <v>861</v>
      </c>
      <c r="O1983" t="str">
        <f>VLOOKUP(C1983,Customers!$A:$F,5,FALSE)</f>
        <v>Retail</v>
      </c>
      <c r="P1983">
        <f>VLOOKUP(C1983,Customers!$A:$F,3,FALSE)</f>
        <v>61</v>
      </c>
      <c r="Q1983" t="str">
        <f>VLOOKUP(E1983,Sales_Reps!$A:$E,3,FALSE)</f>
        <v>South</v>
      </c>
      <c r="R1983" t="str">
        <f>VLOOKUP(E1983,Sales_Reps!$A:$E,2,FALSE)</f>
        <v>Anil Verma</v>
      </c>
      <c r="S1983">
        <f t="shared" si="30"/>
        <v>0.39790209790209791</v>
      </c>
    </row>
    <row r="1984" spans="1:19" x14ac:dyDescent="0.3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  <c r="L1984" t="str">
        <f>VLOOKUP(D1984,Products!$A:$F,3,FALSE)</f>
        <v>Apparel</v>
      </c>
      <c r="M1984" t="b">
        <f>VLOOKUP(D1984,Products!$A:$F,6,FALSE)</f>
        <v>1</v>
      </c>
      <c r="N1984">
        <f>VLOOKUP(D1984,Products!$A:$F,4,FALSE)</f>
        <v>391</v>
      </c>
      <c r="O1984" t="str">
        <f>VLOOKUP(C1984,Customers!$A:$F,5,FALSE)</f>
        <v>Retail</v>
      </c>
      <c r="P1984">
        <f>VLOOKUP(C1984,Customers!$A:$F,3,FALSE)</f>
        <v>26</v>
      </c>
      <c r="Q1984" t="str">
        <f>VLOOKUP(E1984,Sales_Reps!$A:$E,3,FALSE)</f>
        <v>East</v>
      </c>
      <c r="R1984" t="str">
        <f>VLOOKUP(E1984,Sales_Reps!$A:$E,2,FALSE)</f>
        <v>Naveen Singh</v>
      </c>
      <c r="S1984">
        <f t="shared" si="30"/>
        <v>0.52317073170731709</v>
      </c>
    </row>
    <row r="1985" spans="1:19" x14ac:dyDescent="0.3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  <c r="L1985" t="str">
        <f>VLOOKUP(D1985,Products!$A:$F,3,FALSE)</f>
        <v>Beauty</v>
      </c>
      <c r="M1985" t="b">
        <f>VLOOKUP(D1985,Products!$A:$F,6,FALSE)</f>
        <v>1</v>
      </c>
      <c r="N1985">
        <f>VLOOKUP(D1985,Products!$A:$F,4,FALSE)</f>
        <v>2768</v>
      </c>
      <c r="O1985" t="str">
        <f>VLOOKUP(C1985,Customers!$A:$F,5,FALSE)</f>
        <v>Corporate</v>
      </c>
      <c r="P1985">
        <f>VLOOKUP(C1985,Customers!$A:$F,3,FALSE)</f>
        <v>55</v>
      </c>
      <c r="Q1985" t="str">
        <f>VLOOKUP(E1985,Sales_Reps!$A:$E,3,FALSE)</f>
        <v>East</v>
      </c>
      <c r="R1985" t="str">
        <f>VLOOKUP(E1985,Sales_Reps!$A:$E,2,FALSE)</f>
        <v>Vinod Kumar</v>
      </c>
      <c r="S1985">
        <f t="shared" si="30"/>
        <v>0.43278688524590164</v>
      </c>
    </row>
    <row r="1986" spans="1:19" x14ac:dyDescent="0.3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  <c r="L1986" t="str">
        <f>VLOOKUP(D1986,Products!$A:$F,3,FALSE)</f>
        <v>Beauty</v>
      </c>
      <c r="M1986" t="b">
        <f>VLOOKUP(D1986,Products!$A:$F,6,FALSE)</f>
        <v>1</v>
      </c>
      <c r="N1986">
        <f>VLOOKUP(D1986,Products!$A:$F,4,FALSE)</f>
        <v>1728</v>
      </c>
      <c r="O1986" t="str">
        <f>VLOOKUP(C1986,Customers!$A:$F,5,FALSE)</f>
        <v>Retail</v>
      </c>
      <c r="P1986">
        <f>VLOOKUP(C1986,Customers!$A:$F,3,FALSE)</f>
        <v>36</v>
      </c>
      <c r="Q1986" t="str">
        <f>VLOOKUP(E1986,Sales_Reps!$A:$E,3,FALSE)</f>
        <v>South</v>
      </c>
      <c r="R1986" t="str">
        <f>VLOOKUP(E1986,Sales_Reps!$A:$E,2,FALSE)</f>
        <v>Anjali Chopra</v>
      </c>
      <c r="S1986">
        <f t="shared" si="30"/>
        <v>0.48417910447761192</v>
      </c>
    </row>
    <row r="1987" spans="1:19" x14ac:dyDescent="0.3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  <c r="L1987" t="str">
        <f>VLOOKUP(D1987,Products!$A:$F,3,FALSE)</f>
        <v>Apparel</v>
      </c>
      <c r="M1987" t="b">
        <f>VLOOKUP(D1987,Products!$A:$F,6,FALSE)</f>
        <v>1</v>
      </c>
      <c r="N1987">
        <f>VLOOKUP(D1987,Products!$A:$F,4,FALSE)</f>
        <v>1173</v>
      </c>
      <c r="O1987" t="str">
        <f>VLOOKUP(C1987,Customers!$A:$F,5,FALSE)</f>
        <v>Retail</v>
      </c>
      <c r="P1987">
        <f>VLOOKUP(C1987,Customers!$A:$F,3,FALSE)</f>
        <v>32</v>
      </c>
      <c r="Q1987" t="str">
        <f>VLOOKUP(E1987,Sales_Reps!$A:$E,3,FALSE)</f>
        <v>East</v>
      </c>
      <c r="R1987" t="str">
        <f>VLOOKUP(E1987,Sales_Reps!$A:$E,2,FALSE)</f>
        <v>Nisha Menon</v>
      </c>
      <c r="S1987">
        <f t="shared" ref="S1987:S2001" si="31">IFERROR((G1987-N1987)/G1987,"")</f>
        <v>0.52701612903225803</v>
      </c>
    </row>
    <row r="1988" spans="1:19" x14ac:dyDescent="0.3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  <c r="L1988" t="str">
        <f>VLOOKUP(D1988,Products!$A:$F,3,FALSE)</f>
        <v>Home</v>
      </c>
      <c r="M1988" t="b">
        <f>VLOOKUP(D1988,Products!$A:$F,6,FALSE)</f>
        <v>1</v>
      </c>
      <c r="N1988">
        <f>VLOOKUP(D1988,Products!$A:$F,4,FALSE)</f>
        <v>1850</v>
      </c>
      <c r="O1988" t="str">
        <f>VLOOKUP(C1988,Customers!$A:$F,5,FALSE)</f>
        <v>SMB</v>
      </c>
      <c r="P1988">
        <f>VLOOKUP(C1988,Customers!$A:$F,3,FALSE)</f>
        <v>64</v>
      </c>
      <c r="Q1988" t="str">
        <f>VLOOKUP(E1988,Sales_Reps!$A:$E,3,FALSE)</f>
        <v>West</v>
      </c>
      <c r="R1988" t="str">
        <f>VLOOKUP(E1988,Sales_Reps!$A:$E,2,FALSE)</f>
        <v>Rekha Chopra</v>
      </c>
      <c r="S1988">
        <f t="shared" si="31"/>
        <v>0.59869848156182215</v>
      </c>
    </row>
    <row r="1989" spans="1:19" x14ac:dyDescent="0.3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  <c r="L1989" t="str">
        <f>VLOOKUP(D1989,Products!$A:$F,3,FALSE)</f>
        <v>Grocery</v>
      </c>
      <c r="M1989" t="b">
        <f>VLOOKUP(D1989,Products!$A:$F,6,FALSE)</f>
        <v>1</v>
      </c>
      <c r="N1989">
        <f>VLOOKUP(D1989,Products!$A:$F,4,FALSE)</f>
        <v>2436</v>
      </c>
      <c r="O1989" t="str">
        <f>VLOOKUP(C1989,Customers!$A:$F,5,FALSE)</f>
        <v>Retail</v>
      </c>
      <c r="P1989">
        <f>VLOOKUP(C1989,Customers!$A:$F,3,FALSE)</f>
        <v>54</v>
      </c>
      <c r="Q1989" t="str">
        <f>VLOOKUP(E1989,Sales_Reps!$A:$E,3,FALSE)</f>
        <v>North</v>
      </c>
      <c r="R1989" t="str">
        <f>VLOOKUP(E1989,Sales_Reps!$A:$E,2,FALSE)</f>
        <v>Priya Singh</v>
      </c>
      <c r="S1989">
        <f t="shared" si="31"/>
        <v>0.35555555555555557</v>
      </c>
    </row>
    <row r="1990" spans="1:19" x14ac:dyDescent="0.3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  <c r="L1990" t="str">
        <f>VLOOKUP(D1990,Products!$A:$F,3,FALSE)</f>
        <v>Beauty</v>
      </c>
      <c r="M1990" t="b">
        <f>VLOOKUP(D1990,Products!$A:$F,6,FALSE)</f>
        <v>1</v>
      </c>
      <c r="N1990">
        <f>VLOOKUP(D1990,Products!$A:$F,4,FALSE)</f>
        <v>1626</v>
      </c>
      <c r="O1990" t="str">
        <f>VLOOKUP(C1990,Customers!$A:$F,5,FALSE)</f>
        <v>Retail</v>
      </c>
      <c r="P1990">
        <f>VLOOKUP(C1990,Customers!$A:$F,3,FALSE)</f>
        <v>53</v>
      </c>
      <c r="Q1990" t="str">
        <f>VLOOKUP(E1990,Sales_Reps!$A:$E,3,FALSE)</f>
        <v>West</v>
      </c>
      <c r="R1990" t="str">
        <f>VLOOKUP(E1990,Sales_Reps!$A:$E,2,FALSE)</f>
        <v>Sonia Malhotra</v>
      </c>
      <c r="S1990">
        <f t="shared" si="31"/>
        <v>0.46158940397350995</v>
      </c>
    </row>
    <row r="1991" spans="1:19" x14ac:dyDescent="0.3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  <c r="L1991" t="str">
        <f>VLOOKUP(D1991,Products!$A:$F,3,FALSE)</f>
        <v>Home</v>
      </c>
      <c r="M1991" t="b">
        <f>VLOOKUP(D1991,Products!$A:$F,6,FALSE)</f>
        <v>1</v>
      </c>
      <c r="N1991">
        <f>VLOOKUP(D1991,Products!$A:$F,4,FALSE)</f>
        <v>464</v>
      </c>
      <c r="O1991" t="str">
        <f>VLOOKUP(C1991,Customers!$A:$F,5,FALSE)</f>
        <v>Retail</v>
      </c>
      <c r="P1991">
        <f>VLOOKUP(C1991,Customers!$A:$F,3,FALSE)</f>
        <v>32</v>
      </c>
      <c r="Q1991" t="str">
        <f>VLOOKUP(E1991,Sales_Reps!$A:$E,3,FALSE)</f>
        <v>North</v>
      </c>
      <c r="R1991" t="str">
        <f>VLOOKUP(E1991,Sales_Reps!$A:$E,2,FALSE)</f>
        <v>Neha Desai</v>
      </c>
      <c r="S1991">
        <f t="shared" si="31"/>
        <v>0.57431192660550456</v>
      </c>
    </row>
    <row r="1992" spans="1:19" x14ac:dyDescent="0.3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  <c r="L1992" t="str">
        <f>VLOOKUP(D1992,Products!$A:$F,3,FALSE)</f>
        <v>Beauty</v>
      </c>
      <c r="M1992" t="b">
        <f>VLOOKUP(D1992,Products!$A:$F,6,FALSE)</f>
        <v>1</v>
      </c>
      <c r="N1992">
        <f>VLOOKUP(D1992,Products!$A:$F,4,FALSE)</f>
        <v>2237</v>
      </c>
      <c r="O1992" t="str">
        <f>VLOOKUP(C1992,Customers!$A:$F,5,FALSE)</f>
        <v>Corporate</v>
      </c>
      <c r="P1992">
        <f>VLOOKUP(C1992,Customers!$A:$F,3,FALSE)</f>
        <v>31</v>
      </c>
      <c r="Q1992" t="str">
        <f>VLOOKUP(E1992,Sales_Reps!$A:$E,3,FALSE)</f>
        <v>South</v>
      </c>
      <c r="R1992" t="str">
        <f>VLOOKUP(E1992,Sales_Reps!$A:$E,2,FALSE)</f>
        <v>Sanjay Kapoor</v>
      </c>
      <c r="S1992">
        <f t="shared" si="31"/>
        <v>0.56137254901960787</v>
      </c>
    </row>
    <row r="1993" spans="1:19" x14ac:dyDescent="0.3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  <c r="L1993" t="str">
        <f>VLOOKUP(D1993,Products!$A:$F,3,FALSE)</f>
        <v>Beauty</v>
      </c>
      <c r="M1993" t="b">
        <f>VLOOKUP(D1993,Products!$A:$F,6,FALSE)</f>
        <v>1</v>
      </c>
      <c r="N1993">
        <f>VLOOKUP(D1993,Products!$A:$F,4,FALSE)</f>
        <v>2768</v>
      </c>
      <c r="O1993" t="str">
        <f>VLOOKUP(C1993,Customers!$A:$F,5,FALSE)</f>
        <v>SMB</v>
      </c>
      <c r="P1993">
        <f>VLOOKUP(C1993,Customers!$A:$F,3,FALSE)</f>
        <v>59</v>
      </c>
      <c r="Q1993" t="str">
        <f>VLOOKUP(E1993,Sales_Reps!$A:$E,3,FALSE)</f>
        <v>North</v>
      </c>
      <c r="R1993" t="str">
        <f>VLOOKUP(E1993,Sales_Reps!$A:$E,2,FALSE)</f>
        <v>Kavita Patel</v>
      </c>
      <c r="S1993">
        <f t="shared" si="31"/>
        <v>0.43278688524590164</v>
      </c>
    </row>
    <row r="1994" spans="1:19" x14ac:dyDescent="0.3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  <c r="L1994" t="str">
        <f>VLOOKUP(D1994,Products!$A:$F,3,FALSE)</f>
        <v>Electronics</v>
      </c>
      <c r="M1994" t="b">
        <f>VLOOKUP(D1994,Products!$A:$F,6,FALSE)</f>
        <v>1</v>
      </c>
      <c r="N1994">
        <f>VLOOKUP(D1994,Products!$A:$F,4,FALSE)</f>
        <v>2405</v>
      </c>
      <c r="O1994" t="str">
        <f>VLOOKUP(C1994,Customers!$A:$F,5,FALSE)</f>
        <v>Retail</v>
      </c>
      <c r="P1994">
        <f>VLOOKUP(C1994,Customers!$A:$F,3,FALSE)</f>
        <v>65</v>
      </c>
      <c r="Q1994" t="str">
        <f>VLOOKUP(E1994,Sales_Reps!$A:$E,3,FALSE)</f>
        <v>West</v>
      </c>
      <c r="R1994" t="str">
        <f>VLOOKUP(E1994,Sales_Reps!$A:$E,2,FALSE)</f>
        <v>Ramesh Bhatt</v>
      </c>
      <c r="S1994">
        <f t="shared" si="31"/>
        <v>0.54878048780487809</v>
      </c>
    </row>
    <row r="1995" spans="1:19" x14ac:dyDescent="0.3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  <c r="L1995" t="str">
        <f>VLOOKUP(D1995,Products!$A:$F,3,FALSE)</f>
        <v>Home</v>
      </c>
      <c r="M1995" t="b">
        <f>VLOOKUP(D1995,Products!$A:$F,6,FALSE)</f>
        <v>1</v>
      </c>
      <c r="N1995">
        <f>VLOOKUP(D1995,Products!$A:$F,4,FALSE)</f>
        <v>1143</v>
      </c>
      <c r="O1995" t="str">
        <f>VLOOKUP(C1995,Customers!$A:$F,5,FALSE)</f>
        <v>SMB</v>
      </c>
      <c r="P1995">
        <f>VLOOKUP(C1995,Customers!$A:$F,3,FALSE)</f>
        <v>39</v>
      </c>
      <c r="Q1995" t="str">
        <f>VLOOKUP(E1995,Sales_Reps!$A:$E,3,FALSE)</f>
        <v>West</v>
      </c>
      <c r="R1995" t="str">
        <f>VLOOKUP(E1995,Sales_Reps!$A:$E,2,FALSE)</f>
        <v>Arun Iyer</v>
      </c>
      <c r="S1995">
        <f t="shared" si="31"/>
        <v>0.43694581280788175</v>
      </c>
    </row>
    <row r="1996" spans="1:19" x14ac:dyDescent="0.3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  <c r="L1996" t="str">
        <f>VLOOKUP(D1996,Products!$A:$F,3,FALSE)</f>
        <v>Beauty</v>
      </c>
      <c r="M1996" t="b">
        <f>VLOOKUP(D1996,Products!$A:$F,6,FALSE)</f>
        <v>1</v>
      </c>
      <c r="N1996">
        <f>VLOOKUP(D1996,Products!$A:$F,4,FALSE)</f>
        <v>1728</v>
      </c>
      <c r="O1996" t="str">
        <f>VLOOKUP(C1996,Customers!$A:$F,5,FALSE)</f>
        <v>Retail</v>
      </c>
      <c r="P1996">
        <f>VLOOKUP(C1996,Customers!$A:$F,3,FALSE)</f>
        <v>42</v>
      </c>
      <c r="Q1996" t="str">
        <f>VLOOKUP(E1996,Sales_Reps!$A:$E,3,FALSE)</f>
        <v>West</v>
      </c>
      <c r="R1996" t="str">
        <f>VLOOKUP(E1996,Sales_Reps!$A:$E,2,FALSE)</f>
        <v>Rekha Chopra</v>
      </c>
      <c r="S1996">
        <f t="shared" si="31"/>
        <v>0.48417910447761192</v>
      </c>
    </row>
    <row r="1997" spans="1:19" x14ac:dyDescent="0.3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  <c r="L1997" t="str">
        <f>VLOOKUP(D1997,Products!$A:$F,3,FALSE)</f>
        <v>Home</v>
      </c>
      <c r="M1997" t="b">
        <f>VLOOKUP(D1997,Products!$A:$F,6,FALSE)</f>
        <v>1</v>
      </c>
      <c r="N1997">
        <f>VLOOKUP(D1997,Products!$A:$F,4,FALSE)</f>
        <v>2135</v>
      </c>
      <c r="O1997" t="str">
        <f>VLOOKUP(C1997,Customers!$A:$F,5,FALSE)</f>
        <v>Retail</v>
      </c>
      <c r="P1997">
        <f>VLOOKUP(C1997,Customers!$A:$F,3,FALSE)</f>
        <v>49</v>
      </c>
      <c r="Q1997" t="str">
        <f>VLOOKUP(E1997,Sales_Reps!$A:$E,3,FALSE)</f>
        <v>South</v>
      </c>
      <c r="R1997" t="str">
        <f>VLOOKUP(E1997,Sales_Reps!$A:$E,2,FALSE)</f>
        <v>Deepak Shah</v>
      </c>
      <c r="S1997">
        <f t="shared" si="31"/>
        <v>0.42761394101876676</v>
      </c>
    </row>
    <row r="1998" spans="1:19" x14ac:dyDescent="0.3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  <c r="L1998" t="str">
        <f>VLOOKUP(D1998,Products!$A:$F,3,FALSE)</f>
        <v>Electronics</v>
      </c>
      <c r="M1998" t="b">
        <f>VLOOKUP(D1998,Products!$A:$F,6,FALSE)</f>
        <v>1</v>
      </c>
      <c r="N1998">
        <f>VLOOKUP(D1998,Products!$A:$F,4,FALSE)</f>
        <v>2865</v>
      </c>
      <c r="O1998" t="str">
        <f>VLOOKUP(C1998,Customers!$A:$F,5,FALSE)</f>
        <v>SMB</v>
      </c>
      <c r="P1998">
        <f>VLOOKUP(C1998,Customers!$A:$F,3,FALSE)</f>
        <v>24</v>
      </c>
      <c r="Q1998" t="str">
        <f>VLOOKUP(E1998,Sales_Reps!$A:$E,3,FALSE)</f>
        <v>East</v>
      </c>
      <c r="R1998" t="str">
        <f>VLOOKUP(E1998,Sales_Reps!$A:$E,2,FALSE)</f>
        <v>Naveen Singh</v>
      </c>
      <c r="S1998">
        <f t="shared" si="31"/>
        <v>0.27833753148614609</v>
      </c>
    </row>
    <row r="1999" spans="1:19" x14ac:dyDescent="0.3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  <c r="L1999" t="str">
        <f>VLOOKUP(D1999,Products!$A:$F,3,FALSE)</f>
        <v>Grocery</v>
      </c>
      <c r="M1999" t="b">
        <f>VLOOKUP(D1999,Products!$A:$F,6,FALSE)</f>
        <v>1</v>
      </c>
      <c r="N1999">
        <f>VLOOKUP(D1999,Products!$A:$F,4,FALSE)</f>
        <v>1010</v>
      </c>
      <c r="O1999" t="str">
        <f>VLOOKUP(C1999,Customers!$A:$F,5,FALSE)</f>
        <v>Corporate</v>
      </c>
      <c r="P1999">
        <f>VLOOKUP(C1999,Customers!$A:$F,3,FALSE)</f>
        <v>43</v>
      </c>
      <c r="Q1999" t="str">
        <f>VLOOKUP(E1999,Sales_Reps!$A:$E,3,FALSE)</f>
        <v>South</v>
      </c>
      <c r="R1999" t="str">
        <f>VLOOKUP(E1999,Sales_Reps!$A:$E,2,FALSE)</f>
        <v>Anil Verma</v>
      </c>
      <c r="S1999">
        <f t="shared" si="31"/>
        <v>0.54298642533936647</v>
      </c>
    </row>
    <row r="2000" spans="1:19" x14ac:dyDescent="0.3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  <c r="L2000" t="str">
        <f>VLOOKUP(D2000,Products!$A:$F,3,FALSE)</f>
        <v>Sports</v>
      </c>
      <c r="M2000" t="b">
        <f>VLOOKUP(D2000,Products!$A:$F,6,FALSE)</f>
        <v>1</v>
      </c>
      <c r="N2000">
        <f>VLOOKUP(D2000,Products!$A:$F,4,FALSE)</f>
        <v>2265</v>
      </c>
      <c r="O2000" t="str">
        <f>VLOOKUP(C2000,Customers!$A:$F,5,FALSE)</f>
        <v>Retail</v>
      </c>
      <c r="P2000">
        <f>VLOOKUP(C2000,Customers!$A:$F,3,FALSE)</f>
        <v>43</v>
      </c>
      <c r="Q2000" t="str">
        <f>VLOOKUP(E2000,Sales_Reps!$A:$E,3,FALSE)</f>
        <v>North</v>
      </c>
      <c r="R2000" t="str">
        <f>VLOOKUP(E2000,Sales_Reps!$A:$E,2,FALSE)</f>
        <v>Kavita Patel</v>
      </c>
      <c r="S2000">
        <f t="shared" si="31"/>
        <v>0.58133086876155271</v>
      </c>
    </row>
    <row r="2001" spans="1:19" x14ac:dyDescent="0.3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  <c r="L2001" t="str">
        <f>VLOOKUP(D2001,Products!$A:$F,3,FALSE)</f>
        <v>Home</v>
      </c>
      <c r="M2001" t="b">
        <f>VLOOKUP(D2001,Products!$A:$F,6,FALSE)</f>
        <v>1</v>
      </c>
      <c r="N2001">
        <f>VLOOKUP(D2001,Products!$A:$F,4,FALSE)</f>
        <v>2459</v>
      </c>
      <c r="O2001" t="str">
        <f>VLOOKUP(C2001,Customers!$A:$F,5,FALSE)</f>
        <v>Retail</v>
      </c>
      <c r="P2001">
        <f>VLOOKUP(C2001,Customers!$A:$F,3,FALSE)</f>
        <v>49</v>
      </c>
      <c r="Q2001" t="str">
        <f>VLOOKUP(E2001,Sales_Reps!$A:$E,3,FALSE)</f>
        <v>East</v>
      </c>
      <c r="R2001" t="str">
        <f>VLOOKUP(E2001,Sales_Reps!$A:$E,2,FALSE)</f>
        <v>Vinod Kumar</v>
      </c>
      <c r="S2001">
        <f t="shared" si="31"/>
        <v>0.51594488188976373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3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3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3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3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3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3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3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3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3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3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3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3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3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3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3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3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3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3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3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3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3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3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3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3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3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3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3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3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3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3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3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3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3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3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3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3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3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3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3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3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3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3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3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3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3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3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3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3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3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3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3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3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3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3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3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3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3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3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3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3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3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3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3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3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3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3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G31"/>
  <sheetViews>
    <sheetView zoomScale="74" workbookViewId="0">
      <pane ySplit="1" topLeftCell="A2" activePane="bottomLeft" state="frozen"/>
      <selection pane="bottomLeft" activeCell="G2" sqref="G2:G31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  <col min="6" max="6" width="18.21875" customWidth="1"/>
  </cols>
  <sheetData>
    <row r="1" spans="1:7" x14ac:dyDescent="0.3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  <c r="F1" s="33" t="s">
        <v>3028</v>
      </c>
      <c r="G1" s="33" t="s">
        <v>3029</v>
      </c>
    </row>
    <row r="2" spans="1:7" x14ac:dyDescent="0.3">
      <c r="A2" s="13" t="s">
        <v>215</v>
      </c>
      <c r="B2" s="13" t="s">
        <v>2854</v>
      </c>
      <c r="C2" s="13" t="s">
        <v>2855</v>
      </c>
      <c r="D2" s="14">
        <v>44207</v>
      </c>
      <c r="E2" s="13"/>
      <c r="F2">
        <f>SUMIFS(Orders!$I:$I, Orders!$E:$E, A2)</f>
        <v>789849.60000000009</v>
      </c>
      <c r="G2">
        <f>_xlfn.RANK.EQ(F2, $F$2:$F$31, 0)</f>
        <v>23</v>
      </c>
    </row>
    <row r="3" spans="1:7" x14ac:dyDescent="0.3">
      <c r="A3" s="13" t="s">
        <v>297</v>
      </c>
      <c r="B3" s="13" t="s">
        <v>2856</v>
      </c>
      <c r="C3" s="13" t="s">
        <v>2855</v>
      </c>
      <c r="D3" s="14">
        <v>44028</v>
      </c>
      <c r="E3" s="13"/>
      <c r="F3">
        <f>SUMIFS(Orders!$I:$I, Orders!$E:$E, A3)</f>
        <v>980063.65999999968</v>
      </c>
      <c r="G3">
        <f t="shared" ref="G3:G31" si="0">_xlfn.RANK.EQ(F3, $F$2:$F$31, 0)</f>
        <v>9</v>
      </c>
    </row>
    <row r="4" spans="1:7" x14ac:dyDescent="0.3">
      <c r="A4" s="13" t="s">
        <v>148</v>
      </c>
      <c r="B4" s="13" t="s">
        <v>2857</v>
      </c>
      <c r="C4" s="13" t="s">
        <v>2855</v>
      </c>
      <c r="D4" s="14">
        <v>43651</v>
      </c>
      <c r="E4" s="13"/>
      <c r="F4">
        <f>SUMIFS(Orders!$I:$I, Orders!$E:$E, A4)</f>
        <v>986692.91</v>
      </c>
      <c r="G4">
        <f t="shared" si="0"/>
        <v>7</v>
      </c>
    </row>
    <row r="5" spans="1:7" x14ac:dyDescent="0.3">
      <c r="A5" s="13" t="s">
        <v>139</v>
      </c>
      <c r="B5" s="13" t="s">
        <v>2858</v>
      </c>
      <c r="C5" s="13" t="s">
        <v>2855</v>
      </c>
      <c r="D5" s="14">
        <v>44907</v>
      </c>
      <c r="E5" s="13"/>
      <c r="F5">
        <f>SUMIFS(Orders!$I:$I, Orders!$E:$E, A5)</f>
        <v>589026.2899999998</v>
      </c>
      <c r="G5">
        <f t="shared" si="0"/>
        <v>29</v>
      </c>
    </row>
    <row r="6" spans="1:7" x14ac:dyDescent="0.3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  <c r="F6">
        <f>SUMIFS(Orders!$I:$I, Orders!$E:$E, A6)</f>
        <v>782445.33</v>
      </c>
      <c r="G6">
        <f t="shared" si="0"/>
        <v>24</v>
      </c>
    </row>
    <row r="7" spans="1:7" x14ac:dyDescent="0.3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  <c r="F7">
        <f>SUMIFS(Orders!$I:$I, Orders!$E:$E, A7)</f>
        <v>1138648.73</v>
      </c>
      <c r="G7">
        <f t="shared" si="0"/>
        <v>1</v>
      </c>
    </row>
    <row r="8" spans="1:7" x14ac:dyDescent="0.3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  <c r="F8">
        <f>SUMIFS(Orders!$I:$I, Orders!$E:$E, A8)</f>
        <v>855749.67999999982</v>
      </c>
      <c r="G8">
        <f t="shared" si="0"/>
        <v>19</v>
      </c>
    </row>
    <row r="9" spans="1:7" x14ac:dyDescent="0.3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  <c r="F9">
        <f>SUMIFS(Orders!$I:$I, Orders!$E:$E, A9)</f>
        <v>861553.33</v>
      </c>
      <c r="G9">
        <f t="shared" si="0"/>
        <v>18</v>
      </c>
    </row>
    <row r="10" spans="1:7" x14ac:dyDescent="0.3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  <c r="F10">
        <f>SUMIFS(Orders!$I:$I, Orders!$E:$E, A10)</f>
        <v>914554.71999999986</v>
      </c>
      <c r="G10">
        <f t="shared" si="0"/>
        <v>12</v>
      </c>
    </row>
    <row r="11" spans="1:7" x14ac:dyDescent="0.3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  <c r="F11">
        <f>SUMIFS(Orders!$I:$I, Orders!$E:$E, A11)</f>
        <v>880345.20000000007</v>
      </c>
      <c r="G11">
        <f t="shared" si="0"/>
        <v>17</v>
      </c>
    </row>
    <row r="12" spans="1:7" x14ac:dyDescent="0.3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  <c r="F12">
        <f>SUMIFS(Orders!$I:$I, Orders!$E:$E, A12)</f>
        <v>735207.75999999989</v>
      </c>
      <c r="G12">
        <f t="shared" si="0"/>
        <v>28</v>
      </c>
    </row>
    <row r="13" spans="1:7" x14ac:dyDescent="0.3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  <c r="F13">
        <f>SUMIFS(Orders!$I:$I, Orders!$E:$E, A13)</f>
        <v>901394.32000000007</v>
      </c>
      <c r="G13">
        <f t="shared" si="0"/>
        <v>14</v>
      </c>
    </row>
    <row r="14" spans="1:7" x14ac:dyDescent="0.3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  <c r="F14">
        <f>SUMIFS(Orders!$I:$I, Orders!$E:$E, A14)</f>
        <v>811524.37999999989</v>
      </c>
      <c r="G14">
        <f t="shared" si="0"/>
        <v>22</v>
      </c>
    </row>
    <row r="15" spans="1:7" x14ac:dyDescent="0.3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  <c r="F15">
        <f>SUMIFS(Orders!$I:$I, Orders!$E:$E, A15)</f>
        <v>995713.54000000015</v>
      </c>
      <c r="G15">
        <f t="shared" si="0"/>
        <v>6</v>
      </c>
    </row>
    <row r="16" spans="1:7" x14ac:dyDescent="0.3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  <c r="F16">
        <f>SUMIFS(Orders!$I:$I, Orders!$E:$E, A16)</f>
        <v>1091740.1799999997</v>
      </c>
      <c r="G16">
        <f t="shared" si="0"/>
        <v>3</v>
      </c>
    </row>
    <row r="17" spans="1:7" x14ac:dyDescent="0.3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  <c r="F17">
        <f>SUMIFS(Orders!$I:$I, Orders!$E:$E, A17)</f>
        <v>814563.7100000002</v>
      </c>
      <c r="G17">
        <f t="shared" si="0"/>
        <v>21</v>
      </c>
    </row>
    <row r="18" spans="1:7" x14ac:dyDescent="0.3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  <c r="F18">
        <f>SUMIFS(Orders!$I:$I, Orders!$E:$E, A18)</f>
        <v>780384.40999999992</v>
      </c>
      <c r="G18">
        <f t="shared" si="0"/>
        <v>25</v>
      </c>
    </row>
    <row r="19" spans="1:7" x14ac:dyDescent="0.3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  <c r="F19">
        <f>SUMIFS(Orders!$I:$I, Orders!$E:$E, A19)</f>
        <v>1112289.6400000001</v>
      </c>
      <c r="G19">
        <f t="shared" si="0"/>
        <v>2</v>
      </c>
    </row>
    <row r="20" spans="1:7" x14ac:dyDescent="0.3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  <c r="F20">
        <f>SUMIFS(Orders!$I:$I, Orders!$E:$E, A20)</f>
        <v>971183.52000000014</v>
      </c>
      <c r="G20">
        <f t="shared" si="0"/>
        <v>10</v>
      </c>
    </row>
    <row r="21" spans="1:7" x14ac:dyDescent="0.3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  <c r="F21">
        <f>SUMIFS(Orders!$I:$I, Orders!$E:$E, A21)</f>
        <v>906107.71000000008</v>
      </c>
      <c r="G21">
        <f t="shared" si="0"/>
        <v>13</v>
      </c>
    </row>
    <row r="22" spans="1:7" x14ac:dyDescent="0.3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  <c r="F22">
        <f>SUMIFS(Orders!$I:$I, Orders!$E:$E, A22)</f>
        <v>761507.17000000027</v>
      </c>
      <c r="G22">
        <f t="shared" si="0"/>
        <v>26</v>
      </c>
    </row>
    <row r="23" spans="1:7" x14ac:dyDescent="0.3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  <c r="F23">
        <f>SUMIFS(Orders!$I:$I, Orders!$E:$E, A23)</f>
        <v>1069570.5400000003</v>
      </c>
      <c r="G23">
        <f t="shared" si="0"/>
        <v>4</v>
      </c>
    </row>
    <row r="24" spans="1:7" x14ac:dyDescent="0.3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  <c r="F24">
        <f>SUMIFS(Orders!$I:$I, Orders!$E:$E, A24)</f>
        <v>983787.4800000001</v>
      </c>
      <c r="G24">
        <f t="shared" si="0"/>
        <v>8</v>
      </c>
    </row>
    <row r="25" spans="1:7" x14ac:dyDescent="0.3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  <c r="F25">
        <f>SUMIFS(Orders!$I:$I, Orders!$E:$E, A25)</f>
        <v>819558.58</v>
      </c>
      <c r="G25">
        <f t="shared" si="0"/>
        <v>20</v>
      </c>
    </row>
    <row r="26" spans="1:7" x14ac:dyDescent="0.3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  <c r="F26">
        <f>SUMIFS(Orders!$I:$I, Orders!$E:$E, A26)</f>
        <v>901298.89</v>
      </c>
      <c r="G26">
        <f t="shared" si="0"/>
        <v>15</v>
      </c>
    </row>
    <row r="27" spans="1:7" x14ac:dyDescent="0.3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  <c r="F27">
        <f>SUMIFS(Orders!$I:$I, Orders!$E:$E, A27)</f>
        <v>576305.08000000019</v>
      </c>
      <c r="G27">
        <f t="shared" si="0"/>
        <v>30</v>
      </c>
    </row>
    <row r="28" spans="1:7" x14ac:dyDescent="0.3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  <c r="F28">
        <f>SUMIFS(Orders!$I:$I, Orders!$E:$E, A28)</f>
        <v>917092.61999999965</v>
      </c>
      <c r="G28">
        <f t="shared" si="0"/>
        <v>11</v>
      </c>
    </row>
    <row r="29" spans="1:7" x14ac:dyDescent="0.3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  <c r="F29">
        <f>SUMIFS(Orders!$I:$I, Orders!$E:$E, A29)</f>
        <v>880468.05</v>
      </c>
      <c r="G29">
        <f t="shared" si="0"/>
        <v>16</v>
      </c>
    </row>
    <row r="30" spans="1:7" x14ac:dyDescent="0.3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  <c r="F30">
        <f>SUMIFS(Orders!$I:$I, Orders!$E:$E, A30)</f>
        <v>1016696.8000000002</v>
      </c>
      <c r="G30">
        <f t="shared" si="0"/>
        <v>5</v>
      </c>
    </row>
    <row r="31" spans="1:7" x14ac:dyDescent="0.3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  <c r="F31">
        <f>SUMIFS(Orders!$I:$I, Orders!$E:$E, A31)</f>
        <v>747624.36999999988</v>
      </c>
      <c r="G31">
        <f t="shared" si="0"/>
        <v>27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 activeCell="C28" sqref="C28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7" activePane="bottomLeft" state="frozen"/>
      <selection pane="bottomLeft" activeCell="F14" sqref="F14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41" t="s">
        <v>3021</v>
      </c>
      <c r="B1" s="40"/>
      <c r="C1" s="40"/>
      <c r="D1" s="40"/>
      <c r="E1" s="40"/>
      <c r="F1" s="40"/>
    </row>
    <row r="2" spans="1:6" x14ac:dyDescent="0.3">
      <c r="A2" s="39" t="s">
        <v>2898</v>
      </c>
      <c r="B2" s="40"/>
      <c r="C2" s="40"/>
      <c r="D2" s="40"/>
      <c r="E2" s="40"/>
      <c r="F2" s="40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2904</v>
      </c>
      <c r="B5" s="28" t="s">
        <v>2905</v>
      </c>
      <c r="C5" s="29">
        <v>3</v>
      </c>
      <c r="D5" s="30" t="s">
        <v>2906</v>
      </c>
      <c r="E5" s="31" t="str">
        <f>VLOOKUP("ORD-00234",Orders!A:C,3,FALSE)</f>
        <v>CUST-0173</v>
      </c>
      <c r="F5" s="32" t="s">
        <v>2907</v>
      </c>
    </row>
    <row r="6" spans="1:6" ht="42" customHeight="1" x14ac:dyDescent="0.3">
      <c r="A6" s="27" t="s">
        <v>2908</v>
      </c>
      <c r="B6" s="28" t="s">
        <v>2909</v>
      </c>
      <c r="C6" s="29">
        <v>3</v>
      </c>
      <c r="D6" s="30" t="s">
        <v>2910</v>
      </c>
      <c r="E6" s="31" t="str">
        <f>VLOOKUP(VLOOKUP("ORD-00456",Orders!A:D,4,FALSE),Products!A:B,2,FALSE)</f>
        <v>Dumbbells 5kg</v>
      </c>
      <c r="F6" s="32" t="s">
        <v>2911</v>
      </c>
    </row>
    <row r="7" spans="1:6" ht="42" customHeight="1" x14ac:dyDescent="0.3">
      <c r="A7" s="27" t="s">
        <v>2912</v>
      </c>
      <c r="B7" s="28" t="s">
        <v>2913</v>
      </c>
      <c r="C7" s="29">
        <v>3</v>
      </c>
      <c r="D7" s="30" t="s">
        <v>3015</v>
      </c>
      <c r="E7" s="31" t="str">
        <f>VLOOKUP(VLOOKUP("ORD-00987",Orders!A:E,5,FALSE),Sales_Reps!A:B,2,FALSE)</f>
        <v>Nisha Menon</v>
      </c>
      <c r="F7" s="32" t="s">
        <v>2911</v>
      </c>
    </row>
    <row r="8" spans="1:6" ht="42" customHeight="1" x14ac:dyDescent="0.3">
      <c r="A8" s="27" t="s">
        <v>2914</v>
      </c>
      <c r="B8" s="28" t="s">
        <v>2915</v>
      </c>
      <c r="C8" s="29">
        <v>4</v>
      </c>
      <c r="D8" s="30" t="s">
        <v>2916</v>
      </c>
      <c r="E8" s="31">
        <f>INDEX(Targets!C:M,MATCH("R012",Targets!A:A,0),MATCH("Mar-24",Targets!B1:M1,0))</f>
        <v>300863</v>
      </c>
      <c r="F8" s="32" t="s">
        <v>2917</v>
      </c>
    </row>
    <row r="9" spans="1:6" ht="42" customHeight="1" x14ac:dyDescent="0.3">
      <c r="A9" s="27" t="s">
        <v>2918</v>
      </c>
      <c r="B9" s="28" t="s">
        <v>2919</v>
      </c>
      <c r="C9" s="29">
        <v>4</v>
      </c>
      <c r="D9" s="30" t="s">
        <v>2920</v>
      </c>
      <c r="E9" s="31" t="str">
        <f>VLOOKUP(VLOOKUP("ORD-01500",Orders!A:D,4,FALSE),Products!A:C,3,FALSE)</f>
        <v>Electronics</v>
      </c>
      <c r="F9" s="32" t="s">
        <v>2911</v>
      </c>
    </row>
    <row r="10" spans="1:6" ht="42" customHeight="1" x14ac:dyDescent="0.3">
      <c r="A10" s="27" t="s">
        <v>2921</v>
      </c>
      <c r="B10" s="28" t="s">
        <v>2922</v>
      </c>
      <c r="C10" s="29">
        <v>3</v>
      </c>
      <c r="D10" s="30" t="s">
        <v>2923</v>
      </c>
      <c r="E10" s="31" t="str">
        <f>VLOOKUP(VLOOKUP("ORD-00789",Orders!A:H,8,FALSE),{0,"Bronze";5,"Silver";15,"Gold";25,"Platinum"},2,TRUE)</f>
        <v>Bronze</v>
      </c>
      <c r="F10" s="32" t="s">
        <v>2911</v>
      </c>
    </row>
    <row r="11" spans="1:6" ht="42" customHeight="1" x14ac:dyDescent="0.3">
      <c r="A11" s="27" t="s">
        <v>2924</v>
      </c>
      <c r="B11" s="28" t="s">
        <v>3016</v>
      </c>
      <c r="C11" s="29">
        <v>3</v>
      </c>
      <c r="D11" s="30" t="s">
        <v>2925</v>
      </c>
      <c r="E11" s="31" t="str">
        <f>VLOOKUP(VLOOKUP("ORD-01234",Orders!A:E,5,FALSE),Sales_Reps!A:C,2,FALSE)&amp;" ("&amp;VLOOKUP(VLOOKUP("ORD-01234",Orders!A:E,5,FALSE),Sales_Reps!A:C,3,FALSE)&amp;")"</f>
        <v>Sanjay Kapoor (South)</v>
      </c>
      <c r="F11" s="32" t="s">
        <v>2911</v>
      </c>
    </row>
    <row r="12" spans="1:6" ht="42" customHeight="1" x14ac:dyDescent="0.3">
      <c r="A12" s="27" t="s">
        <v>2926</v>
      </c>
      <c r="B12" s="28" t="s">
        <v>3017</v>
      </c>
      <c r="C12" s="29">
        <v>2</v>
      </c>
      <c r="D12" s="30" t="s">
        <v>2927</v>
      </c>
      <c r="E12" s="31" t="str">
        <f>VLOOKUP(VLOOKUP("R017",Sales_Reps!A:E,5,FALSE),Sales_Reps!A:B,2,FALSE)</f>
        <v>Amit Singh</v>
      </c>
      <c r="F12" s="32" t="s">
        <v>2911</v>
      </c>
    </row>
    <row r="15" spans="1:6" x14ac:dyDescent="0.3">
      <c r="B15" s="22" t="s">
        <v>2928</v>
      </c>
    </row>
    <row r="17" spans="2:3" x14ac:dyDescent="0.3">
      <c r="B17" s="23" t="s">
        <v>2929</v>
      </c>
      <c r="C17" s="23" t="s">
        <v>2930</v>
      </c>
    </row>
    <row r="18" spans="2:3" x14ac:dyDescent="0.3">
      <c r="B18" s="24">
        <v>0</v>
      </c>
      <c r="C18" s="24" t="s">
        <v>2931</v>
      </c>
    </row>
    <row r="19" spans="2:3" x14ac:dyDescent="0.3">
      <c r="B19" s="24">
        <v>5</v>
      </c>
      <c r="C19" s="24" t="s">
        <v>2932</v>
      </c>
    </row>
    <row r="20" spans="2:3" x14ac:dyDescent="0.3">
      <c r="B20" s="24">
        <v>15</v>
      </c>
      <c r="C20" s="24" t="s">
        <v>2933</v>
      </c>
    </row>
    <row r="21" spans="2:3" x14ac:dyDescent="0.3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topLeftCell="C1" workbookViewId="0">
      <pane ySplit="4" topLeftCell="A5" activePane="bottomLeft" state="frozen"/>
      <selection pane="bottomLeft" activeCell="E11" sqref="E11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1" t="s">
        <v>3022</v>
      </c>
      <c r="B1" s="40"/>
      <c r="C1" s="40"/>
      <c r="D1" s="40"/>
      <c r="E1" s="40"/>
      <c r="F1" s="40"/>
    </row>
    <row r="2" spans="1:6" x14ac:dyDescent="0.3">
      <c r="A2" s="39" t="s">
        <v>2935</v>
      </c>
      <c r="B2" s="40"/>
      <c r="C2" s="40"/>
      <c r="D2" s="40"/>
      <c r="E2" s="40"/>
      <c r="F2" s="40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2936</v>
      </c>
      <c r="B5" s="28" t="s">
        <v>2937</v>
      </c>
      <c r="C5" s="29">
        <v>3</v>
      </c>
      <c r="D5" s="30" t="s">
        <v>3019</v>
      </c>
      <c r="E5" s="31" cm="1">
        <f t="array" ref="E5">SUMPRODUCT((COUNTIF(Orders!A2:A2001,Orders!A2:A2001)&gt;1)/COUNTIF(Orders!A2:A2001,Orders!A2:A2001))</f>
        <v>20</v>
      </c>
      <c r="F5" s="32" t="s">
        <v>2917</v>
      </c>
    </row>
    <row r="6" spans="1:6" ht="42" customHeight="1" x14ac:dyDescent="0.3">
      <c r="A6" s="27" t="s">
        <v>2938</v>
      </c>
      <c r="B6" s="28" t="s">
        <v>2939</v>
      </c>
      <c r="C6" s="29">
        <v>3</v>
      </c>
      <c r="D6" s="30" t="s">
        <v>2940</v>
      </c>
      <c r="E6" s="31" cm="1">
        <f t="array" ref="E6">SUMPRODUCT(--(LEN(Customers!B2:B301)&lt;&gt;LEN(TRIM(Customers!B2:B301))))</f>
        <v>15</v>
      </c>
      <c r="F6" s="32" t="s">
        <v>2917</v>
      </c>
    </row>
    <row r="7" spans="1:6" ht="42" customHeight="1" x14ac:dyDescent="0.3">
      <c r="A7" s="27" t="s">
        <v>2941</v>
      </c>
      <c r="B7" s="28" t="s">
        <v>2942</v>
      </c>
      <c r="C7" s="29">
        <v>3</v>
      </c>
      <c r="D7" s="30" t="s">
        <v>2943</v>
      </c>
      <c r="E7" s="31" cm="1">
        <f t="array" ref="E7">SUMPRODUCT((Customers!D2:D301&lt;&gt;"")/COUNTIF(Customers!D2:D301,UPPER(Customers!D2:D301)&amp;""))</f>
        <v>6.0000000000000018</v>
      </c>
      <c r="F7" s="32" t="s">
        <v>2917</v>
      </c>
    </row>
    <row r="8" spans="1:6" ht="42" customHeight="1" x14ac:dyDescent="0.3">
      <c r="A8" s="27" t="s">
        <v>2944</v>
      </c>
      <c r="B8" s="28" t="s">
        <v>2945</v>
      </c>
      <c r="C8" s="29">
        <v>4</v>
      </c>
      <c r="D8" s="30" t="s">
        <v>2946</v>
      </c>
      <c r="E8" s="31" cm="1">
        <f t="array" ref="E8">SUMPRODUCT(--(ISNA(MATCH(Orders!C2:C2001,Customers!A2:A301,0))))</f>
        <v>30</v>
      </c>
      <c r="F8" s="32" t="s">
        <v>2917</v>
      </c>
    </row>
    <row r="9" spans="1:6" ht="42" customHeight="1" x14ac:dyDescent="0.3">
      <c r="A9" s="27" t="s">
        <v>2947</v>
      </c>
      <c r="B9" s="28" t="s">
        <v>2948</v>
      </c>
      <c r="C9" s="29">
        <v>3</v>
      </c>
      <c r="D9" s="30" t="s">
        <v>2949</v>
      </c>
      <c r="E9" s="31">
        <f>COUNTIF(Orders!M2:M2001,FALSE)</f>
        <v>174</v>
      </c>
      <c r="F9" s="32" t="s">
        <v>2917</v>
      </c>
    </row>
    <row r="10" spans="1:6" ht="42" customHeight="1" x14ac:dyDescent="0.3">
      <c r="A10" s="27" t="s">
        <v>2950</v>
      </c>
      <c r="B10" s="28" t="s">
        <v>3018</v>
      </c>
      <c r="C10" s="29">
        <v>4</v>
      </c>
      <c r="D10" s="30" t="s">
        <v>2951</v>
      </c>
      <c r="E10" s="31">
        <f>COUNTIFS(Orders!J2:J2001,"Cancelled",Orders!H2:H2001,"&gt;20")</f>
        <v>58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topLeftCell="C1" workbookViewId="0">
      <pane ySplit="4" topLeftCell="A5" activePane="bottomLeft" state="frozen"/>
      <selection pane="bottomLeft" activeCell="E11" sqref="E11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6" t="s">
        <v>3023</v>
      </c>
      <c r="B1" s="35"/>
      <c r="C1" s="35"/>
      <c r="D1" s="35"/>
      <c r="E1" s="35"/>
      <c r="F1" s="35"/>
    </row>
    <row r="2" spans="1:6" x14ac:dyDescent="0.3">
      <c r="A2" s="39" t="s">
        <v>2952</v>
      </c>
      <c r="B2" s="40"/>
      <c r="C2" s="40"/>
      <c r="D2" s="40"/>
      <c r="E2" s="40"/>
      <c r="F2" s="40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2953</v>
      </c>
      <c r="B5" s="28" t="s">
        <v>2954</v>
      </c>
      <c r="C5" s="29">
        <v>4</v>
      </c>
      <c r="D5" s="30" t="s">
        <v>2955</v>
      </c>
      <c r="E5" s="31">
        <f>SUMIFS(Orders!I2:I2001,Orders!B2:B2001,"&gt;="&amp;DATE(2024,7,1),Orders!B2:B2001,"&lt;="&amp;DATE(2024,9,30),Orders!K2:K2001,"Mumbai")</f>
        <v>1217239.0099999998</v>
      </c>
      <c r="F5" s="32" t="s">
        <v>2956</v>
      </c>
    </row>
    <row r="6" spans="1:6" ht="42" customHeight="1" x14ac:dyDescent="0.3">
      <c r="A6" s="27" t="s">
        <v>2957</v>
      </c>
      <c r="B6" s="28" t="s">
        <v>2958</v>
      </c>
      <c r="C6" s="29">
        <v>3</v>
      </c>
      <c r="D6" s="30" t="s">
        <v>2959</v>
      </c>
      <c r="E6" s="31">
        <f>COUNTIFS(Orders!H2:H2001,"&gt;15",Orders!J2:J2001,"Completed")</f>
        <v>723</v>
      </c>
      <c r="F6" s="32" t="s">
        <v>2917</v>
      </c>
    </row>
    <row r="7" spans="1:6" ht="42" customHeight="1" x14ac:dyDescent="0.3">
      <c r="A7" s="27" t="s">
        <v>2960</v>
      </c>
      <c r="B7" s="28" t="s">
        <v>3020</v>
      </c>
      <c r="C7" s="29">
        <v>5</v>
      </c>
      <c r="D7" s="30" t="s">
        <v>2961</v>
      </c>
      <c r="E7" s="31">
        <f>AVERAGEIFS(Orders!I2:I2001,Orders!L2:L2001,"Electronics",Orders!O2:O2001,"Corporate")</f>
        <v>13981.401558441557</v>
      </c>
      <c r="F7" s="32" t="s">
        <v>2956</v>
      </c>
    </row>
    <row r="8" spans="1:6" ht="42" customHeight="1" x14ac:dyDescent="0.3">
      <c r="A8" s="27" t="s">
        <v>2962</v>
      </c>
      <c r="B8" s="28" t="s">
        <v>2963</v>
      </c>
      <c r="C8" s="29">
        <v>4</v>
      </c>
      <c r="D8" s="30" t="s">
        <v>2964</v>
      </c>
      <c r="E8" s="31" cm="1">
        <f t="array" ref="E8">SUMPRODUCT(LARGE(SUMIF(Orders!E2:E2001,Sales_Reps!A2:A31,Orders!I2:I2001),{1,2,3}))</f>
        <v>3342678.55</v>
      </c>
      <c r="F8" s="32" t="s">
        <v>2956</v>
      </c>
    </row>
    <row r="9" spans="1:6" ht="42" customHeight="1" x14ac:dyDescent="0.3">
      <c r="A9" s="27" t="s">
        <v>2965</v>
      </c>
      <c r="B9" s="28" t="s">
        <v>2966</v>
      </c>
      <c r="C9" s="29">
        <v>5</v>
      </c>
      <c r="D9" s="30" t="s">
        <v>2967</v>
      </c>
      <c r="E9" s="31" t="str">
        <f>IF(SUMIFS(Orders!I2:I2001,Orders!E2:E2001,"R015",Orders!B2:B2001,"&gt;="&amp;DATE(2024,11,1),Orders!B2:B2001,"&lt;="&amp;DATE(2024,11,30))/INDEX(Targets!M:M,MATCH("R015",Targets!A:A,0))&lt;0.8,"Below",IF(SUMIFS(Orders!I2:I2001,Orders!E2:E2001,"R015",Orders!B2:B2001,"&gt;="&amp;DATE(2024,11,1),Orders!B2:B2001,"&lt;="&amp;DATE(2024,11,30))/INDEX(Targets!M:M,MATCH("R015",Targets!A:A,0))&gt;1.2,"Exceeds","On Track"))</f>
        <v>Below</v>
      </c>
      <c r="F9" s="32" t="s">
        <v>2911</v>
      </c>
    </row>
    <row r="10" spans="1:6" ht="42" customHeight="1" x14ac:dyDescent="0.3">
      <c r="A10" s="27" t="s">
        <v>2968</v>
      </c>
      <c r="B10" s="28" t="s">
        <v>2969</v>
      </c>
      <c r="C10" s="29">
        <v>4</v>
      </c>
      <c r="D10" s="30" t="s">
        <v>2970</v>
      </c>
      <c r="E10" s="31">
        <f>SUMIFS(Orders!I2:I2001,Orders!O2:O2001,"Corporate",Orders!P2:P2001,"&gt;=30",Orders!P2:P2001,"&lt;=40")</f>
        <v>982568.40000000014</v>
      </c>
      <c r="F10" s="32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topLeftCell="C1"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6" t="s">
        <v>3024</v>
      </c>
      <c r="B1" s="35"/>
      <c r="C1" s="35"/>
      <c r="D1" s="35"/>
      <c r="E1" s="35"/>
      <c r="F1" s="35"/>
    </row>
    <row r="2" spans="1:6" x14ac:dyDescent="0.3">
      <c r="A2" s="34" t="s">
        <v>2971</v>
      </c>
      <c r="B2" s="35"/>
      <c r="C2" s="35"/>
      <c r="D2" s="35"/>
      <c r="E2" s="35"/>
      <c r="F2" s="35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2972</v>
      </c>
      <c r="B5" s="17" t="s">
        <v>2973</v>
      </c>
      <c r="C5" s="18">
        <v>4</v>
      </c>
      <c r="D5" s="19" t="s">
        <v>2974</v>
      </c>
      <c r="E5" s="20">
        <f>SUMIFS(Orders!I2:I2001,Orders!Q2:Q2001,"South",Orders!L2:L2001,"Electronics")</f>
        <v>1314107.3899999999</v>
      </c>
      <c r="F5" s="21" t="s">
        <v>2956</v>
      </c>
    </row>
    <row r="6" spans="1:6" ht="42" customHeight="1" x14ac:dyDescent="0.3">
      <c r="A6" s="16" t="s">
        <v>2975</v>
      </c>
      <c r="B6" s="17" t="s">
        <v>2976</v>
      </c>
      <c r="C6" s="18">
        <v>4</v>
      </c>
      <c r="D6" s="19" t="s">
        <v>2977</v>
      </c>
      <c r="E6" s="20" cm="1">
        <f t="array" ref="E6">MAX(SUMIFS(Orders!I2:I2001,Orders!E2:E2001,Sales_Reps!A2:A31,Orders!B2:B2001,"&gt;="&amp;DATE(2024,1,1),Orders!B2:B2001,"&lt;="&amp;DATE(2024,12,31)))</f>
        <v>1138648.73</v>
      </c>
      <c r="F6" s="21" t="s">
        <v>2956</v>
      </c>
    </row>
    <row r="7" spans="1:6" ht="42" customHeight="1" x14ac:dyDescent="0.3">
      <c r="A7" s="16" t="s">
        <v>2978</v>
      </c>
      <c r="B7" s="17" t="s">
        <v>2979</v>
      </c>
      <c r="C7" s="18">
        <v>4</v>
      </c>
      <c r="D7" s="19" t="s">
        <v>2980</v>
      </c>
      <c r="E7" s="20">
        <f>SUMIFS(Orders!I2:I2001,Orders!Q2:Q2001,"North",Orders!L2:L2001,"Apparel")/SUMIFS(Orders!I2:I2001,Orders!Q2:Q2001,"North")</f>
        <v>0.14023150471988341</v>
      </c>
      <c r="F7" s="21" t="s">
        <v>2981</v>
      </c>
    </row>
    <row r="8" spans="1:6" ht="42" customHeight="1" x14ac:dyDescent="0.3">
      <c r="A8" s="16" t="s">
        <v>2982</v>
      </c>
      <c r="B8" s="17" t="s">
        <v>2983</v>
      </c>
      <c r="C8" s="18">
        <v>4</v>
      </c>
      <c r="D8" s="19" t="s">
        <v>2984</v>
      </c>
      <c r="E8" s="20">
        <f>SUMIFS(Orders!I2:I2001,Orders!B2:B2001,"&gt;="&amp;DATE(2024,10,1),Orders!B2:B2001,"&lt;="&amp;DATE(2024,12,31))</f>
        <v>6459442.9800000004</v>
      </c>
      <c r="F8" s="21" t="s">
        <v>2956</v>
      </c>
    </row>
    <row r="9" spans="1:6" ht="42" customHeight="1" x14ac:dyDescent="0.3">
      <c r="A9" s="16" t="s">
        <v>2985</v>
      </c>
      <c r="B9" s="17" t="s">
        <v>2986</v>
      </c>
      <c r="C9" s="18">
        <v>4</v>
      </c>
      <c r="D9" s="19" t="s">
        <v>2987</v>
      </c>
      <c r="E9" s="20">
        <f>AVERAGEIFS(Orders!S2:S2001,Orders!K2:K2001,"Delhi")</f>
        <v>0.4488087270396342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G9"/>
  <sheetViews>
    <sheetView tabSelected="1" zoomScale="80" workbookViewId="0">
      <pane ySplit="4" topLeftCell="A5" activePane="bottomLeft" state="frozen"/>
      <selection pane="bottomLeft" activeCell="D13" sqref="D13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58.88671875" customWidth="1"/>
    <col min="6" max="6" width="15" customWidth="1"/>
  </cols>
  <sheetData>
    <row r="1" spans="1:7" ht="30" customHeight="1" x14ac:dyDescent="0.3">
      <c r="A1" s="36" t="s">
        <v>3025</v>
      </c>
      <c r="B1" s="35"/>
      <c r="C1" s="35"/>
      <c r="D1" s="35"/>
      <c r="E1" s="35"/>
      <c r="F1" s="35"/>
    </row>
    <row r="2" spans="1:7" x14ac:dyDescent="0.3">
      <c r="A2" s="34" t="s">
        <v>2988</v>
      </c>
      <c r="B2" s="35"/>
      <c r="C2" s="35"/>
      <c r="D2" s="35"/>
      <c r="E2" s="35"/>
      <c r="F2" s="35"/>
    </row>
    <row r="4" spans="1:7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  <c r="G4" s="33"/>
    </row>
    <row r="5" spans="1:7" ht="42" customHeight="1" x14ac:dyDescent="0.3">
      <c r="A5" s="16" t="s">
        <v>2989</v>
      </c>
      <c r="B5" s="17" t="s">
        <v>2990</v>
      </c>
      <c r="C5" s="18">
        <v>2</v>
      </c>
      <c r="D5" s="19" t="s">
        <v>2991</v>
      </c>
      <c r="E5" s="20" t="str">
        <f>INDEX(Sales_Reps!B:B, MATCH(7, Sales_Reps!G:G, 0))</f>
        <v>Amit Singh</v>
      </c>
      <c r="F5" s="21" t="s">
        <v>2911</v>
      </c>
    </row>
    <row r="6" spans="1:7" ht="42" customHeight="1" x14ac:dyDescent="0.3">
      <c r="A6" s="16" t="s">
        <v>2992</v>
      </c>
      <c r="B6" s="17" t="s">
        <v>2993</v>
      </c>
      <c r="C6" s="18">
        <v>2</v>
      </c>
      <c r="D6" s="19" t="s">
        <v>2994</v>
      </c>
      <c r="E6" s="20">
        <f>SUMIFS(Orders!I2:I2001, Orders!B2:B2001, "&lt;="&amp;DATE(2024,8,31))</f>
        <v>18050689.600000005</v>
      </c>
      <c r="F6" s="21" t="s">
        <v>2956</v>
      </c>
    </row>
    <row r="7" spans="1:7" ht="42" customHeight="1" x14ac:dyDescent="0.3">
      <c r="A7" s="16" t="s">
        <v>2995</v>
      </c>
      <c r="B7" s="17" t="s">
        <v>2996</v>
      </c>
      <c r="C7" s="18">
        <v>3</v>
      </c>
      <c r="D7" s="19" t="s">
        <v>2997</v>
      </c>
      <c r="E7" s="20" cm="1">
        <f t="array" aca="1" ref="E7" ca="1">INDEX(Products!B:B, MATCH(LARGE(SUMIFS(Orders!I:I, Orders!Q:Q, "West", Orders!D:D, Products!A:A), 2), SUMIFS(Orders!I:I, Orders!Q:Q, "West", Orders!D:D, Products!A:A), 0))</f>
        <v>0</v>
      </c>
      <c r="F7" s="21" t="s">
        <v>2911</v>
      </c>
    </row>
    <row r="8" spans="1:7" ht="42" customHeight="1" x14ac:dyDescent="0.3">
      <c r="A8" s="16" t="s">
        <v>2998</v>
      </c>
      <c r="B8" s="17" t="s">
        <v>2999</v>
      </c>
      <c r="C8" s="18">
        <v>2</v>
      </c>
      <c r="D8" s="19" t="s">
        <v>3000</v>
      </c>
      <c r="E8" s="20" t="str" cm="1">
        <f t="array" ref="E8">_xlfn.TEXTJOIN(" | ", TRUE, INDEX(Sales_Reps!B:B, MATCH(LARGE(Sales_Reps!F:F, {1;2;3;4;5}), Sales_Reps!F:F, 0)))</f>
        <v>Neha Desai | Shalini Patel | Deepak Shah | Nisha Menon | Arun Iyer</v>
      </c>
      <c r="F8" s="21" t="s">
        <v>2911</v>
      </c>
    </row>
    <row r="9" spans="1:7" ht="42" customHeight="1" x14ac:dyDescent="0.3">
      <c r="A9" s="16" t="s">
        <v>3001</v>
      </c>
      <c r="B9" s="17" t="s">
        <v>3002</v>
      </c>
      <c r="C9" s="18">
        <v>1</v>
      </c>
      <c r="D9" s="19" t="s">
        <v>3003</v>
      </c>
      <c r="E9" s="20">
        <f>_xlfn.MAXIFS(Orders!I2:I2001, Orders!K2:K2001, "Bengaluru", Orders!L2:L2001, "Grocery")</f>
        <v>22134</v>
      </c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Sparsh Tiwari</cp:lastModifiedBy>
  <dcterms:created xsi:type="dcterms:W3CDTF">2026-08-08T11:39:42Z</dcterms:created>
  <dcterms:modified xsi:type="dcterms:W3CDTF">2026-10-20T17:16:17Z</dcterms:modified>
</cp:coreProperties>
</file>